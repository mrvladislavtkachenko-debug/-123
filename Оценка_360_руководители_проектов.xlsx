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омпетенции" sheetId="2" state="visible" r:id="rId2"/>
    <sheet name="Оценки" sheetId="3" state="visible" r:id="rId3"/>
    <sheet name="Сводка" sheetId="4" state="visible" r:id="rId4"/>
    <sheet name="План развит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color rgb="00000000"/>
      <sz val="11"/>
    </font>
    <font>
      <i val="1"/>
      <color rgb="00808080"/>
      <sz val="10"/>
    </font>
    <font>
      <b val="1"/>
      <color rgb="00FFFFFF"/>
    </font>
    <font>
      <b val="1"/>
      <color rgb="009C0006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4" borderId="1" pivotButton="0" quotePrefix="0" xfId="0"/>
    <xf numFmtId="164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ОЦЕНКА 360° РУКОВОДИТЕЛЕЙ ПРОЕКТОВ РЦК — ИНСТРУКЦИЯ ПО ПРОВЕДЕНИЮ</t>
        </is>
      </c>
    </row>
    <row r="3">
      <c r="B3" s="2" t="inlineStr">
        <is>
          <t>Что такое оценка 360°. Руководитель проекта оценивается по ряду компетенций несколькими группами: его непосредственный руководитель, коллеги, подчинённые, внутренние клиенты (предприятия-участники, ФЦК, смежные подразделения), плюс самооценка. Это даёт картину «со всех сторон» и показывает слепые зоны — где человек оценивает себя выше, чем его видят окружающие.</t>
        </is>
      </c>
    </row>
    <row r="5">
      <c r="B5" s="2" t="inlineStr">
        <is>
          <t>ШКАЛА ОЦЕНИВАНИЯ (для всех компетенций):</t>
        </is>
      </c>
    </row>
    <row r="6">
      <c r="B6" s="3" t="inlineStr">
        <is>
          <t>1 — Не соответствует: поведение не наблюдается, компетенция не проявляется</t>
        </is>
      </c>
    </row>
    <row r="7">
      <c r="B7" s="3" t="inlineStr">
        <is>
          <t>2 — Частично соответствует: проявления единичные, нестабильные</t>
        </is>
      </c>
    </row>
    <row r="8">
      <c r="B8" s="3" t="inlineStr">
        <is>
          <t>3 — Соответствует: устойчивое поведение, соответствует требованиям</t>
        </is>
      </c>
    </row>
    <row r="9">
      <c r="B9" s="3" t="inlineStr">
        <is>
          <t>4 — Высокий уровень: устойчиво превышает требования, пример для коллег</t>
        </is>
      </c>
    </row>
    <row r="10">
      <c r="B10" s="3" t="inlineStr">
        <is>
          <t>5 — Выдающийся: лучший в организации, менторит и обучает других</t>
        </is>
      </c>
    </row>
    <row r="12">
      <c r="B12" s="2" t="inlineStr">
        <is>
          <t>ШАГИ ПРОВЕДЕНИЯ:</t>
        </is>
      </c>
    </row>
    <row r="13">
      <c r="B13" s="3" t="inlineStr">
        <is>
          <t>1. Подготовьте список опрашиваемых для каждого из 7 руководителей. Рекомендуемый состав: 1 непосредственный руководитель; 3–5 коллег (соседние руководители проектов); 3–5 подчинённых; 1–2 внутренних клиента (предприятия-участники, куратор/ФЦК). Самооценку руководитель заполняет сам. Всего на человека — 8–15 респондентов.</t>
        </is>
      </c>
    </row>
    <row r="14">
      <c r="B14" s="3" t="inlineStr">
        <is>
          <t>2. Проведите короткий инструктаж респондентов: цель оценки — развитие (не депремирование), шкала 1–5, конфиденциальность (результаты отдельных людей никому не показываются), срок — 2–3 недели.</t>
        </is>
      </c>
    </row>
    <row r="15">
      <c r="B15" s="3" t="inlineStr">
        <is>
          <t>3. Сбор оценок. Либо каждый респондент заполняет в листе «Оценки» только СВОЙ столбец в блоке того руководителя, которого он оценивает (файл по очереди передаётся), либо оценки собираются онлайн-формой, а вы вносите их в лист «Оценки». Целые числа от 1 до 5 (есть проверка ввода).</t>
        </is>
      </c>
    </row>
    <row r="16">
      <c r="B16" s="3" t="inlineStr">
        <is>
          <t>4. Лист «Сводка» считается автоматически: средние по группам, общий средний балл «Другие» и разрыв «себя vs. другие» по каждой компетенции. Сигналы: красный разрыв ≥ 0,5 — руководитель переоценивает себя; оранжевый средний балл «Другие» &lt; 3 — компетенция ниже требуемого уровня.</t>
        </is>
      </c>
    </row>
    <row r="17">
      <c r="B17" s="3" t="inlineStr">
        <is>
          <t>5. Интерпретация. По каждой компетенции смотрите: а) низкий балл «Других» (&lt; 3) — зона развития; б) большой разрыв в пользу самооценки — слепая зона, стоит обсудить; в) высокие баллы во всех группах — сильная сторона. Сводку удобно разбирать по 4 группам «Действий» (см. лист «Компетенции»).</t>
        </is>
      </c>
    </row>
    <row r="18">
      <c r="B18" s="3" t="inlineStr">
        <is>
          <t>6. Проведите личную встречу с каждым руководителем (20–30 минут): покажите сводку (только групповые средние, без имён), обсудите 2–3 сильные стороны и 2–3 зоны развития, согласуйте план развития (лист «План развития», формат — по приложению № 6 МР).</t>
        </is>
      </c>
    </row>
    <row r="20">
      <c r="B20" s="2" t="inlineStr">
        <is>
          <t>ПРАВИЛА КОНФИДЕНЦИАЛЬНОСТИ:</t>
        </is>
      </c>
    </row>
    <row r="21">
      <c r="B21" s="3" t="inlineStr">
        <is>
          <t>• Опасываемый видит только средние по группам и общий результат — не оценки конкретных людей.</t>
        </is>
      </c>
    </row>
    <row r="22">
      <c r="B22" s="3" t="inlineStr">
        <is>
          <t>• Лист «Оценки» (сырые данные) хранит и видит только организатор оценки (вы).</t>
        </is>
      </c>
    </row>
    <row r="23">
      <c r="B23" s="3" t="inlineStr">
        <is>
          <t>• В группе должно быть не менее 2 респондентов, иначе средний балл группы нерепрезентативен — дополните группу или не показывайте её. Столбцы заготовлены на 3 коллег и 3 подчинённых; если людей меньше — оставьте пустые ячейки, формулы посчитают по заполненным.</t>
        </is>
      </c>
    </row>
    <row r="24">
      <c r="B24" s="3" t="inlineStr">
        <is>
          <t>• Оценки используются для развития (coaching, обучение, план развития), а не для депремирования — иначе респонденты будут оценивать «для галочки».</t>
        </is>
      </c>
    </row>
    <row r="26">
      <c r="B26" s="2" t="inlineStr">
        <is>
          <t>ИСТОЧНИК КОМПЕТЕНЦИЙ:</t>
        </is>
      </c>
    </row>
    <row r="27">
      <c r="B27" s="3" t="inlineStr">
        <is>
          <t>• 37 компетенций — модель профессиональных компетенций сотрудников РЦК (приложение № 3 МР-02-2025 «Организация работы региональных центров компетенций в сфере производительности труда в субъектах РФ», ред. 1, утв. ФЦК 28.01.2025), 4 группы «Действий»: отбор предприятий; развертывание программы на предприятии; инструменты «Бережливого производства»; поддержка рабочих групп. Ссылки на пункты МР — на листе «Компетенции».</t>
        </is>
      </c>
    </row>
    <row r="28">
      <c r="B28" s="3" t="inlineStr">
        <is>
          <t>• Формат плана развития и шкала уровней (0–3, шаг 0,5) — приложение № 6 МР-02-2025 «Организация работы региональных центров компетенций в сфере производительности труда в субъектах РФ», ред. 1, утв. ФЦК 28.01.2025. Пункт 10.4 МР: матрица компетенций и планы развития сотрудников размещаются в инфоцентре РЦК.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6" customWidth="1" min="3" max="3"/>
    <col width="88" customWidth="1" min="4" max="4"/>
  </cols>
  <sheetData>
    <row r="1">
      <c r="A1" s="4" t="inlineStr">
        <is>
          <t>Модель профессиональных компетенций руководителя проекта РЦК (приложение № 3 МР, 37 компетенций)</t>
        </is>
      </c>
    </row>
    <row r="2" ht="26" customHeight="1">
      <c r="A2" s="5" t="inlineStr">
        <is>
          <t>Наименования — точно по приложению № 3 МР-02-2025 (ред. 1). Цвет — группы «Действий». При изменении списка сохраняйте порядок строк на листах «Оценки» и «Сводка».</t>
        </is>
      </c>
    </row>
    <row r="3">
      <c r="A3" s="6" t="inlineStr">
        <is>
          <t>№</t>
        </is>
      </c>
      <c r="B3" s="6" t="inlineStr">
        <is>
          <t>Ссылка на МР</t>
        </is>
      </c>
      <c r="C3" s="6" t="inlineStr">
        <is>
          <t>Группа («Действие») приложения № 3</t>
        </is>
      </c>
      <c r="D3" s="6" t="inlineStr">
        <is>
          <t>Компетенция (действие / навык)</t>
        </is>
      </c>
    </row>
    <row r="4" ht="26" customHeight="1">
      <c r="A4" s="7" t="n">
        <v>1</v>
      </c>
      <c r="B4" s="7" t="inlineStr">
        <is>
          <t>1.1</t>
        </is>
      </c>
      <c r="C4" s="8" t="inlineStr">
        <is>
          <t>Проведение отбора предприятий для участия в федеральном и региональном проектах, проведение выбора потока</t>
        </is>
      </c>
      <c r="D4" s="9" t="inlineStr">
        <is>
          <t>Проведение оценки на соответствие предприятия обязательным критериям</t>
        </is>
      </c>
    </row>
    <row r="5" ht="26" customHeight="1">
      <c r="A5" s="7" t="n">
        <v>2</v>
      </c>
      <c r="B5" s="7" t="inlineStr">
        <is>
          <t>1.2</t>
        </is>
      </c>
      <c r="C5" s="8" t="inlineStr">
        <is>
          <t>Проведение отбора предприятий для участия в федеральном и региональном проектах, проведение выбора потока</t>
        </is>
      </c>
      <c r="D5" s="9" t="inlineStr">
        <is>
          <t>Проведение оценки готовности руководства предприятия к участию в проекте (интервью)</t>
        </is>
      </c>
    </row>
    <row r="6" ht="26" customHeight="1">
      <c r="A6" s="7" t="n">
        <v>3</v>
      </c>
      <c r="B6" s="7" t="inlineStr">
        <is>
          <t>1.3</t>
        </is>
      </c>
      <c r="C6" s="8" t="inlineStr">
        <is>
          <t>Проведение отбора предприятий для участия в федеральном и региональном проектах, проведение выбора потока</t>
        </is>
      </c>
      <c r="D6" s="9" t="inlineStr">
        <is>
          <t>Проведение визуальной оценки производственного процесса на предприятии (визит на площадку)</t>
        </is>
      </c>
    </row>
    <row r="7" ht="26" customHeight="1">
      <c r="A7" s="7" t="n">
        <v>4</v>
      </c>
      <c r="B7" s="7" t="inlineStr">
        <is>
          <t>1.4</t>
        </is>
      </c>
      <c r="C7" s="8" t="inlineStr">
        <is>
          <t>Проведение отбора предприятий для участия в федеральном и региональном проектах, проведение выбора потока</t>
        </is>
      </c>
      <c r="D7" s="9" t="inlineStr">
        <is>
          <t>Вовлечение руководства предприятий в федеральный проект</t>
        </is>
      </c>
    </row>
    <row r="8" ht="26" customHeight="1">
      <c r="A8" s="7" t="n">
        <v>5</v>
      </c>
      <c r="B8" s="7" t="inlineStr">
        <is>
          <t>1.5</t>
        </is>
      </c>
      <c r="C8" s="8" t="inlineStr">
        <is>
          <t>Проведение отбора предприятий для участия в федеральном и региональном проектах, проведение выбора потока</t>
        </is>
      </c>
      <c r="D8" s="9" t="inlineStr">
        <is>
          <t>Подписание соглашения о сотрудничестве между РЦК и предприятием</t>
        </is>
      </c>
    </row>
    <row r="9" ht="26" customHeight="1">
      <c r="A9" s="7" t="n">
        <v>6</v>
      </c>
      <c r="B9" s="7" t="inlineStr">
        <is>
          <t>2.1</t>
        </is>
      </c>
      <c r="C9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9" s="9" t="inlineStr">
        <is>
          <t>Реализация организационных вех программы</t>
        </is>
      </c>
    </row>
    <row r="10" ht="26" customHeight="1">
      <c r="A10" s="7" t="n">
        <v>7</v>
      </c>
      <c r="B10" s="7" t="inlineStr">
        <is>
          <t>2.1</t>
        </is>
      </c>
      <c r="C10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0" s="9" t="inlineStr">
        <is>
          <t>Формирование проектного офиса</t>
        </is>
      </c>
    </row>
    <row r="11" ht="26" customHeight="1">
      <c r="A11" s="7" t="n">
        <v>8</v>
      </c>
      <c r="B11" s="7" t="inlineStr">
        <is>
          <t>2.2</t>
        </is>
      </c>
      <c r="C11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1" s="9" t="inlineStr">
        <is>
          <t>Определение перечня вовлеченных лиц и рамок проекта; создание рабочей группы для работы с пилотным потоком</t>
        </is>
      </c>
    </row>
    <row r="12" ht="26" customHeight="1">
      <c r="A12" s="7" t="n">
        <v>9</v>
      </c>
      <c r="B12" s="7" t="inlineStr">
        <is>
          <t>2.2</t>
        </is>
      </c>
      <c r="C12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2" s="9" t="inlineStr">
        <is>
          <t>Выявление степени готовности предприятия к изменениям</t>
        </is>
      </c>
    </row>
    <row r="13" ht="26" customHeight="1">
      <c r="A13" s="7" t="n">
        <v>10</v>
      </c>
      <c r="B13" s="7" t="inlineStr">
        <is>
          <t>2.2</t>
        </is>
      </c>
      <c r="C13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3" s="9" t="inlineStr">
        <is>
          <t>Составление плана ключевых событий</t>
        </is>
      </c>
    </row>
    <row r="14" ht="26" customHeight="1">
      <c r="A14" s="7" t="n">
        <v>11</v>
      </c>
      <c r="B14" s="7" t="inlineStr">
        <is>
          <t>2.2</t>
        </is>
      </c>
      <c r="C14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4" s="9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</row>
    <row r="15" ht="26" customHeight="1">
      <c r="A15" s="7" t="n">
        <v>12</v>
      </c>
      <c r="B15" s="7" t="inlineStr">
        <is>
          <t>2.2</t>
        </is>
      </c>
      <c r="C15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5" s="9" t="inlineStr">
        <is>
          <t>Проведение анализа показателей проектов повышения производительности труда</t>
        </is>
      </c>
    </row>
    <row r="16" ht="26" customHeight="1">
      <c r="A16" s="7" t="n">
        <v>13</v>
      </c>
      <c r="B16" s="7" t="inlineStr">
        <is>
          <t>2.2</t>
        </is>
      </c>
      <c r="C16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6" s="9" t="inlineStr">
        <is>
          <t>Создание карточки проекта</t>
        </is>
      </c>
    </row>
    <row r="17" ht="26" customHeight="1">
      <c r="A17" s="7" t="n">
        <v>14</v>
      </c>
      <c r="B17" s="7" t="inlineStr">
        <is>
          <t>2.2</t>
        </is>
      </c>
      <c r="C17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7" s="9" t="inlineStr">
        <is>
          <t>Создание информационного центра проекта</t>
        </is>
      </c>
    </row>
    <row r="18" ht="26" customHeight="1">
      <c r="A18" s="7" t="n">
        <v>15</v>
      </c>
      <c r="B18" s="7" t="inlineStr">
        <is>
          <t>2.2</t>
        </is>
      </c>
      <c r="C18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8" s="9" t="inlineStr">
        <is>
          <t>Создание эталонного участка</t>
        </is>
      </c>
    </row>
    <row r="19" ht="26" customHeight="1">
      <c r="A19" s="7" t="n">
        <v>16</v>
      </c>
      <c r="B19" s="7" t="inlineStr">
        <is>
          <t>2.2</t>
        </is>
      </c>
      <c r="C19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19" s="9" t="inlineStr">
        <is>
          <t>Проведение оценки уровня развития производственной системы предприятия</t>
        </is>
      </c>
    </row>
    <row r="20" ht="26" customHeight="1">
      <c r="A20" s="7" t="n">
        <v>17</v>
      </c>
      <c r="B20" s="7" t="inlineStr">
        <is>
          <t>2.3</t>
        </is>
      </c>
      <c r="C20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20" s="9" t="inlineStr">
        <is>
          <t>Внедрение информационных центров</t>
        </is>
      </c>
    </row>
    <row r="21" ht="26" customHeight="1">
      <c r="A21" s="7" t="n">
        <v>18</v>
      </c>
      <c r="B21" s="7" t="inlineStr">
        <is>
          <t>2.4</t>
        </is>
      </c>
      <c r="C21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21" s="9" t="inlineStr">
        <is>
          <t>Подготовка к проведению тренингов</t>
        </is>
      </c>
    </row>
    <row r="22" ht="26" customHeight="1">
      <c r="A22" s="7" t="n">
        <v>19</v>
      </c>
      <c r="B22" s="7" t="inlineStr">
        <is>
          <t>2.4</t>
        </is>
      </c>
      <c r="C22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22" s="9" t="inlineStr">
        <is>
          <t>Проведение тренингов по Бережливому производству</t>
        </is>
      </c>
    </row>
    <row r="23" ht="26" customHeight="1">
      <c r="A23" s="7" t="n">
        <v>20</v>
      </c>
      <c r="B23" s="7" t="inlineStr">
        <is>
          <t>2.4</t>
        </is>
      </c>
      <c r="C23" s="10" t="inlineStr">
        <is>
          <t>Реализация мероприятий по развертыванию программы повышения производительности труда на предприятии согласно стандартной последовательности и срокам исполнения проекта</t>
        </is>
      </c>
      <c r="D23" s="9" t="inlineStr">
        <is>
          <t>Мониторинг проводимого обучения</t>
        </is>
      </c>
    </row>
    <row r="24" ht="26" customHeight="1">
      <c r="A24" s="7" t="n">
        <v>21</v>
      </c>
      <c r="B24" s="7" t="inlineStr">
        <is>
          <t>3.1</t>
        </is>
      </c>
      <c r="C24" s="11" t="inlineStr">
        <is>
          <t>Применение методик и инструментов Бережливого производства</t>
        </is>
      </c>
      <c r="D24" s="9" t="inlineStr">
        <is>
          <t>Картирование потоков и «Диаграмма спагетти»</t>
        </is>
      </c>
    </row>
    <row r="25" ht="26" customHeight="1">
      <c r="A25" s="7" t="n">
        <v>22</v>
      </c>
      <c r="B25" s="7" t="inlineStr">
        <is>
          <t>3.1</t>
        </is>
      </c>
      <c r="C25" s="11" t="inlineStr">
        <is>
          <t>Применение методик и инструментов Бережливого производства</t>
        </is>
      </c>
      <c r="D25" s="9" t="inlineStr">
        <is>
          <t>Производственный анализ</t>
        </is>
      </c>
    </row>
    <row r="26" ht="26" customHeight="1">
      <c r="A26" s="7" t="n">
        <v>23</v>
      </c>
      <c r="B26" s="7" t="inlineStr">
        <is>
          <t>3.1</t>
        </is>
      </c>
      <c r="C26" s="11" t="inlineStr">
        <is>
          <t>Применение методик и инструментов Бережливого производства</t>
        </is>
      </c>
      <c r="D26" s="9" t="inlineStr">
        <is>
          <t>Поток единичных изделий</t>
        </is>
      </c>
    </row>
    <row r="27" ht="26" customHeight="1">
      <c r="A27" s="7" t="n">
        <v>24</v>
      </c>
      <c r="B27" s="7" t="inlineStr">
        <is>
          <t>3.1</t>
        </is>
      </c>
      <c r="C27" s="11" t="inlineStr">
        <is>
          <t>Применение методик и инструментов Бережливого производства</t>
        </is>
      </c>
      <c r="D27" s="9" t="inlineStr">
        <is>
          <t>Система «Канбан»</t>
        </is>
      </c>
    </row>
    <row r="28" ht="26" customHeight="1">
      <c r="A28" s="7" t="n">
        <v>25</v>
      </c>
      <c r="B28" s="7" t="inlineStr">
        <is>
          <t>3.1</t>
        </is>
      </c>
      <c r="C28" s="11" t="inlineStr">
        <is>
          <t>Применение методик и инструментов Бережливого производства</t>
        </is>
      </c>
      <c r="D28" s="9" t="inlineStr">
        <is>
          <t>Стандартизированная работа</t>
        </is>
      </c>
    </row>
    <row r="29" ht="26" customHeight="1">
      <c r="A29" s="7" t="n">
        <v>26</v>
      </c>
      <c r="B29" s="7" t="inlineStr">
        <is>
          <t>3.1</t>
        </is>
      </c>
      <c r="C29" s="11" t="inlineStr">
        <is>
          <t>Применение методик и инструментов Бережливого производства</t>
        </is>
      </c>
      <c r="D29" s="9" t="inlineStr">
        <is>
          <t>Методы поиска первопричин и решения проблем</t>
        </is>
      </c>
    </row>
    <row r="30" ht="26" customHeight="1">
      <c r="A30" s="7" t="n">
        <v>27</v>
      </c>
      <c r="B30" s="7" t="inlineStr">
        <is>
          <t>3.1</t>
        </is>
      </c>
      <c r="C30" s="11" t="inlineStr">
        <is>
          <t>Применение методик и инструментов Бережливого производства</t>
        </is>
      </c>
      <c r="D30" s="9" t="inlineStr">
        <is>
          <t>Быстрая переналадка (SMED)</t>
        </is>
      </c>
    </row>
    <row r="31" ht="26" customHeight="1">
      <c r="A31" s="7" t="n">
        <v>28</v>
      </c>
      <c r="B31" s="7" t="inlineStr">
        <is>
          <t>3.1</t>
        </is>
      </c>
      <c r="C31" s="11" t="inlineStr">
        <is>
          <t>Применение методик и инструментов Бережливого производства</t>
        </is>
      </c>
      <c r="D31" s="9" t="inlineStr">
        <is>
          <t>«Poka-Yoke» (защита от ошибок)</t>
        </is>
      </c>
    </row>
    <row r="32" ht="26" customHeight="1">
      <c r="A32" s="7" t="n">
        <v>29</v>
      </c>
      <c r="B32" s="7" t="inlineStr">
        <is>
          <t>3.1</t>
        </is>
      </c>
      <c r="C32" s="11" t="inlineStr">
        <is>
          <t>Применение методик и инструментов Бережливого производства</t>
        </is>
      </c>
      <c r="D32" s="9" t="inlineStr">
        <is>
          <t>5С на производстве и в офисе</t>
        </is>
      </c>
    </row>
    <row r="33" ht="26" customHeight="1">
      <c r="A33" s="7" t="n">
        <v>30</v>
      </c>
      <c r="B33" s="7" t="inlineStr">
        <is>
          <t>3.1</t>
        </is>
      </c>
      <c r="C33" s="11" t="inlineStr">
        <is>
          <t>Применение методик и инструментов Бережливого производства</t>
        </is>
      </c>
      <c r="D33" s="9" t="inlineStr">
        <is>
          <t>ОЕЕ — анализ эффективности оборудования</t>
        </is>
      </c>
    </row>
    <row r="34" ht="26" customHeight="1">
      <c r="A34" s="7" t="n">
        <v>31</v>
      </c>
      <c r="B34" s="7" t="inlineStr">
        <is>
          <t>3.1</t>
        </is>
      </c>
      <c r="C34" s="11" t="inlineStr">
        <is>
          <t>Применение методик и инструментов Бережливого производства</t>
        </is>
      </c>
      <c r="D34" s="9" t="inlineStr">
        <is>
          <t>Автономное обслуживание оборудования</t>
        </is>
      </c>
    </row>
    <row r="35" ht="26" customHeight="1">
      <c r="A35" s="7" t="n">
        <v>32</v>
      </c>
      <c r="B35" s="7" t="inlineStr">
        <is>
          <t>3.1</t>
        </is>
      </c>
      <c r="C35" s="11" t="inlineStr">
        <is>
          <t>Применение методик и инструментов Бережливого производства</t>
        </is>
      </c>
      <c r="D35" s="9" t="inlineStr">
        <is>
          <t>Управление запасами</t>
        </is>
      </c>
    </row>
    <row r="36" ht="26" customHeight="1">
      <c r="A36" s="7" t="n">
        <v>33</v>
      </c>
      <c r="B36" s="7" t="inlineStr">
        <is>
          <t>4.1</t>
        </is>
      </c>
      <c r="C36" s="12" t="inlineStr">
        <is>
          <t>Поддержка рабочих групп / проектных офисов на предприятиях-участниках</t>
        </is>
      </c>
      <c r="D36" s="9" t="inlineStr">
        <is>
          <t>Сбор и проверка данных от предприятий-участников, выработка корректирующих мероприятий</t>
        </is>
      </c>
    </row>
    <row r="37" ht="26" customHeight="1">
      <c r="A37" s="7" t="n">
        <v>34</v>
      </c>
      <c r="B37" s="7" t="inlineStr">
        <is>
          <t>4.2</t>
        </is>
      </c>
      <c r="C37" s="12" t="inlineStr">
        <is>
          <t>Поддержка рабочих групп / проектных офисов на предприятиях-участниках</t>
        </is>
      </c>
      <c r="D37" s="9" t="inlineStr">
        <is>
          <t>Мониторинг реализации программы на фазе «Тиражирование и совершенствование» (поддерживающие сессии)</t>
        </is>
      </c>
    </row>
    <row r="38" ht="26" customHeight="1">
      <c r="A38" s="7" t="n">
        <v>35</v>
      </c>
      <c r="B38" s="7" t="inlineStr">
        <is>
          <t>4.3</t>
        </is>
      </c>
      <c r="C38" s="12" t="inlineStr">
        <is>
          <t>Поддержка рабочих групп / проектных офисов на предприятиях-участниках</t>
        </is>
      </c>
      <c r="D38" s="9" t="inlineStr">
        <is>
          <t>Поиск и распространение лучших практик по производительности труда</t>
        </is>
      </c>
    </row>
    <row r="39" ht="26" customHeight="1">
      <c r="A39" s="7" t="n">
        <v>36</v>
      </c>
      <c r="B39" s="7" t="inlineStr">
        <is>
          <t>4.4</t>
        </is>
      </c>
      <c r="C39" s="12" t="inlineStr">
        <is>
          <t>Поддержка рабочих групп / проектных офисов на предприятиях-участниках</t>
        </is>
      </c>
      <c r="D39" s="9" t="inlineStr">
        <is>
          <t>Организация работы с предложениями по улучшению (ППУ)</t>
        </is>
      </c>
    </row>
    <row r="40" ht="26" customHeight="1">
      <c r="A40" s="7" t="n">
        <v>37</v>
      </c>
      <c r="B40" s="7" t="inlineStr">
        <is>
          <t>4.5</t>
        </is>
      </c>
      <c r="C40" s="12" t="inlineStr">
        <is>
          <t>Поддержка рабочих групп / проектных офисов на предприятиях-участниках</t>
        </is>
      </c>
      <c r="D40" s="9" t="inlineStr">
        <is>
          <t>Ведение мониторинга проектов в подсистеме «Совместная работа» на ИТ-платформе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0" customHeight="1">
      <c r="A1" s="13" t="inlineStr">
        <is>
          <t>СЫРЫЕ ОЦЕНКИ (целые числа 1–5). Каждый респондент заполняет ТОЛЬКО свой столбец и ТОЛЬКО блок руководителя, которого он оценивает. Столбцы «Коллега N / Подчинённый N» — конкретные люди, имена фиксирует организатор отдельно (не в таблице!). Лист видит только организатор.</t>
        </is>
      </c>
    </row>
    <row r="2" ht="26" customHeight="1">
      <c r="A2" s="6" t="inlineStr">
        <is>
          <t>№</t>
        </is>
      </c>
      <c r="B2" s="6" t="inlineStr">
        <is>
          <t>Компетенция (приложение № 3 МР)</t>
        </is>
      </c>
      <c r="C2" s="6" t="inlineStr">
        <is>
          <t>Руководитель</t>
        </is>
      </c>
      <c r="D2" s="6" t="inlineStr">
        <is>
          <t>Коллега 1</t>
        </is>
      </c>
      <c r="E2" s="6" t="inlineStr">
        <is>
          <t>Коллега 2</t>
        </is>
      </c>
      <c r="F2" s="6" t="inlineStr">
        <is>
          <t>Коллега 3</t>
        </is>
      </c>
      <c r="G2" s="6" t="inlineStr">
        <is>
          <t>Подчинённый 1</t>
        </is>
      </c>
      <c r="H2" s="6" t="inlineStr">
        <is>
          <t>Подчинённый 2</t>
        </is>
      </c>
      <c r="I2" s="6" t="inlineStr">
        <is>
          <t>Подчинённый 3</t>
        </is>
      </c>
      <c r="J2" s="6" t="inlineStr">
        <is>
          <t>Клиент 1</t>
        </is>
      </c>
      <c r="K2" s="6" t="inlineStr">
        <is>
          <t>Сам (сама)</t>
        </is>
      </c>
    </row>
    <row r="3" ht="20" customHeight="1">
      <c r="A3" s="14" t="inlineStr">
        <is>
          <t>РП-1 — Смирнов А. П. (ПРИМЕР — замените данные)</t>
        </is>
      </c>
    </row>
    <row r="4">
      <c r="A4" s="7" t="n">
        <v>1</v>
      </c>
      <c r="B4" s="15" t="inlineStr">
        <is>
          <t>Проведение оценки на соответствие предприятия обязательным критериям</t>
        </is>
      </c>
      <c r="C4" s="16" t="n">
        <v>4</v>
      </c>
      <c r="D4" s="16" t="n">
        <v>4</v>
      </c>
      <c r="E4" s="16" t="n">
        <v>3</v>
      </c>
      <c r="F4" s="16" t="n">
        <v>3</v>
      </c>
      <c r="G4" s="16" t="n">
        <v>4</v>
      </c>
      <c r="H4" s="16" t="n">
        <v>3</v>
      </c>
      <c r="I4" s="16" t="n">
        <v>3</v>
      </c>
      <c r="J4" s="16" t="n">
        <v>4</v>
      </c>
      <c r="K4" s="16" t="n">
        <v>5</v>
      </c>
    </row>
    <row r="5">
      <c r="A5" s="7" t="n">
        <v>2</v>
      </c>
      <c r="B5" s="15" t="inlineStr">
        <is>
          <t>Проведение оценки готовности руководства предприятия к участию в проекте (интервью)</t>
        </is>
      </c>
      <c r="C5" s="16" t="n">
        <v>3</v>
      </c>
      <c r="D5" s="16" t="n">
        <v>3</v>
      </c>
      <c r="E5" s="16" t="n">
        <v>3</v>
      </c>
      <c r="F5" s="16" t="n">
        <v>4</v>
      </c>
      <c r="G5" s="16" t="n">
        <v>3</v>
      </c>
      <c r="H5" s="16" t="n">
        <v>4</v>
      </c>
      <c r="I5" s="16" t="n">
        <v>3</v>
      </c>
      <c r="J5" s="16" t="n">
        <v>3</v>
      </c>
      <c r="K5" s="16" t="n">
        <v>3</v>
      </c>
    </row>
    <row r="6">
      <c r="A6" s="7" t="n">
        <v>3</v>
      </c>
      <c r="B6" s="15" t="inlineStr">
        <is>
          <t>Проведение визуальной оценки производственного процесса на предприятии (визит на площадку)</t>
        </is>
      </c>
      <c r="C6" s="16" t="n">
        <v>3</v>
      </c>
      <c r="D6" s="16" t="n">
        <v>3</v>
      </c>
      <c r="E6" s="16" t="n">
        <v>4</v>
      </c>
      <c r="F6" s="16" t="n">
        <v>3</v>
      </c>
      <c r="G6" s="16" t="n">
        <v>3</v>
      </c>
      <c r="H6" s="16" t="n">
        <v>3</v>
      </c>
      <c r="I6" s="16" t="n">
        <v>4</v>
      </c>
      <c r="J6" s="16" t="n">
        <v>3</v>
      </c>
      <c r="K6" s="16" t="n">
        <v>3</v>
      </c>
    </row>
    <row r="7">
      <c r="A7" s="7" t="n">
        <v>4</v>
      </c>
      <c r="B7" s="15" t="inlineStr">
        <is>
          <t>Вовлечение руководства предприятий в федеральный проект</t>
        </is>
      </c>
      <c r="C7" s="16" t="n">
        <v>4</v>
      </c>
      <c r="D7" s="16" t="n">
        <v>4</v>
      </c>
      <c r="E7" s="16" t="n">
        <v>3</v>
      </c>
      <c r="F7" s="16" t="n">
        <v>3</v>
      </c>
      <c r="G7" s="16" t="n">
        <v>3</v>
      </c>
      <c r="H7" s="16" t="n">
        <v>3</v>
      </c>
      <c r="I7" s="16" t="n">
        <v>3</v>
      </c>
      <c r="J7" s="16" t="n">
        <v>3</v>
      </c>
      <c r="K7" s="16" t="n">
        <v>4</v>
      </c>
    </row>
    <row r="8">
      <c r="A8" s="7" t="n">
        <v>5</v>
      </c>
      <c r="B8" s="15" t="inlineStr">
        <is>
          <t>Подписание соглашения о сотрудничестве между РЦК и предприятием</t>
        </is>
      </c>
      <c r="C8" s="16" t="n">
        <v>3</v>
      </c>
      <c r="D8" s="16" t="n">
        <v>3</v>
      </c>
      <c r="E8" s="16" t="n">
        <v>3</v>
      </c>
      <c r="F8" s="16" t="n">
        <v>4</v>
      </c>
      <c r="G8" s="16" t="n">
        <v>4</v>
      </c>
      <c r="H8" s="16" t="n">
        <v>3</v>
      </c>
      <c r="I8" s="16" t="n">
        <v>3</v>
      </c>
      <c r="J8" s="16" t="n">
        <v>3</v>
      </c>
      <c r="K8" s="16" t="n">
        <v>3</v>
      </c>
    </row>
    <row r="9">
      <c r="A9" s="7" t="n">
        <v>6</v>
      </c>
      <c r="B9" s="15" t="inlineStr">
        <is>
          <t>Реализация организационных вех программы</t>
        </is>
      </c>
      <c r="C9" s="16" t="n">
        <v>3</v>
      </c>
      <c r="D9" s="16" t="n">
        <v>3</v>
      </c>
      <c r="E9" s="16" t="n">
        <v>4</v>
      </c>
      <c r="F9" s="16" t="n">
        <v>3</v>
      </c>
      <c r="G9" s="16" t="n">
        <v>3</v>
      </c>
      <c r="H9" s="16" t="n">
        <v>4</v>
      </c>
      <c r="I9" s="16" t="n">
        <v>3</v>
      </c>
      <c r="J9" s="16" t="n">
        <v>4</v>
      </c>
      <c r="K9" s="16" t="n">
        <v>3</v>
      </c>
    </row>
    <row r="10">
      <c r="A10" s="7" t="n">
        <v>7</v>
      </c>
      <c r="B10" s="15" t="inlineStr">
        <is>
          <t>Формирование проектного офиса</t>
        </is>
      </c>
      <c r="C10" s="16" t="n">
        <v>4</v>
      </c>
      <c r="D10" s="16" t="n">
        <v>4</v>
      </c>
      <c r="E10" s="16" t="n">
        <v>3</v>
      </c>
      <c r="F10" s="16" t="n">
        <v>3</v>
      </c>
      <c r="G10" s="16" t="n">
        <v>3</v>
      </c>
      <c r="H10" s="16" t="n">
        <v>3</v>
      </c>
      <c r="I10" s="16" t="n">
        <v>4</v>
      </c>
      <c r="J10" s="16" t="n">
        <v>3</v>
      </c>
      <c r="K10" s="16" t="n">
        <v>4</v>
      </c>
    </row>
    <row r="11">
      <c r="A11" s="7" t="n">
        <v>8</v>
      </c>
      <c r="B11" s="15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11" s="16" t="n">
        <v>3</v>
      </c>
      <c r="D11" s="16" t="n">
        <v>3</v>
      </c>
      <c r="E11" s="16" t="n">
        <v>3</v>
      </c>
      <c r="F11" s="16" t="n">
        <v>4</v>
      </c>
      <c r="G11" s="16" t="n">
        <v>3</v>
      </c>
      <c r="H11" s="16" t="n">
        <v>3</v>
      </c>
      <c r="I11" s="16" t="n">
        <v>3</v>
      </c>
      <c r="J11" s="16" t="n">
        <v>3</v>
      </c>
      <c r="K11" s="16" t="n">
        <v>4</v>
      </c>
    </row>
    <row r="12">
      <c r="A12" s="7" t="n">
        <v>9</v>
      </c>
      <c r="B12" s="15" t="inlineStr">
        <is>
          <t>Выявление степени готовности предприятия к изменениям</t>
        </is>
      </c>
      <c r="C12" s="16" t="n">
        <v>3</v>
      </c>
      <c r="D12" s="16" t="n">
        <v>3</v>
      </c>
      <c r="E12" s="16" t="n">
        <v>4</v>
      </c>
      <c r="F12" s="16" t="n">
        <v>3</v>
      </c>
      <c r="G12" s="16" t="n">
        <v>4</v>
      </c>
      <c r="H12" s="16" t="n">
        <v>3</v>
      </c>
      <c r="I12" s="16" t="n">
        <v>3</v>
      </c>
      <c r="J12" s="16" t="n">
        <v>3</v>
      </c>
      <c r="K12" s="16" t="n">
        <v>3</v>
      </c>
    </row>
    <row r="13">
      <c r="A13" s="7" t="n">
        <v>10</v>
      </c>
      <c r="B13" s="15" t="inlineStr">
        <is>
          <t>Составление плана ключевых событий</t>
        </is>
      </c>
      <c r="C13" s="16" t="n">
        <v>4</v>
      </c>
      <c r="D13" s="16" t="n">
        <v>4</v>
      </c>
      <c r="E13" s="16" t="n">
        <v>3</v>
      </c>
      <c r="F13" s="16" t="n">
        <v>3</v>
      </c>
      <c r="G13" s="16" t="n">
        <v>3</v>
      </c>
      <c r="H13" s="16" t="n">
        <v>4</v>
      </c>
      <c r="I13" s="16" t="n">
        <v>3</v>
      </c>
      <c r="J13" s="16" t="n">
        <v>3</v>
      </c>
      <c r="K13" s="16" t="n">
        <v>4</v>
      </c>
    </row>
    <row r="14">
      <c r="A14" s="7" t="n">
        <v>11</v>
      </c>
      <c r="B14" s="15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14" s="16" t="n">
        <v>3</v>
      </c>
      <c r="D14" s="16" t="n">
        <v>3</v>
      </c>
      <c r="E14" s="16" t="n">
        <v>3</v>
      </c>
      <c r="F14" s="16" t="n">
        <v>4</v>
      </c>
      <c r="G14" s="16" t="n">
        <v>3</v>
      </c>
      <c r="H14" s="16" t="n">
        <v>3</v>
      </c>
      <c r="I14" s="16" t="n">
        <v>4</v>
      </c>
      <c r="J14" s="16" t="n">
        <v>4</v>
      </c>
      <c r="K14" s="16" t="n">
        <v>3</v>
      </c>
    </row>
    <row r="15">
      <c r="A15" s="7" t="n">
        <v>12</v>
      </c>
      <c r="B15" s="15" t="inlineStr">
        <is>
          <t>Проведение анализа показателей проектов повышения производительности труда</t>
        </is>
      </c>
      <c r="C15" s="16" t="n">
        <v>3</v>
      </c>
      <c r="D15" s="16" t="n">
        <v>3</v>
      </c>
      <c r="E15" s="16" t="n">
        <v>4</v>
      </c>
      <c r="F15" s="16" t="n">
        <v>3</v>
      </c>
      <c r="G15" s="16" t="n">
        <v>3</v>
      </c>
      <c r="H15" s="16" t="n">
        <v>3</v>
      </c>
      <c r="I15" s="16" t="n">
        <v>3</v>
      </c>
      <c r="J15" s="16" t="n">
        <v>3</v>
      </c>
      <c r="K15" s="16" t="n">
        <v>3</v>
      </c>
    </row>
    <row r="16">
      <c r="A16" s="7" t="n">
        <v>13</v>
      </c>
      <c r="B16" s="15" t="inlineStr">
        <is>
          <t>Создание карточки проекта</t>
        </is>
      </c>
      <c r="C16" s="16" t="n">
        <v>4</v>
      </c>
      <c r="D16" s="16" t="n">
        <v>4</v>
      </c>
      <c r="E16" s="16" t="n">
        <v>3</v>
      </c>
      <c r="F16" s="16" t="n">
        <v>3</v>
      </c>
      <c r="G16" s="16" t="n">
        <v>4</v>
      </c>
      <c r="H16" s="16" t="n">
        <v>3</v>
      </c>
      <c r="I16" s="16" t="n">
        <v>3</v>
      </c>
      <c r="J16" s="16" t="n">
        <v>3</v>
      </c>
      <c r="K16" s="16" t="n">
        <v>4</v>
      </c>
    </row>
    <row r="17">
      <c r="A17" s="7" t="n">
        <v>14</v>
      </c>
      <c r="B17" s="15" t="inlineStr">
        <is>
          <t>Создание информационного центра проекта</t>
        </is>
      </c>
      <c r="C17" s="16" t="n">
        <v>3</v>
      </c>
      <c r="D17" s="16" t="n">
        <v>3</v>
      </c>
      <c r="E17" s="16" t="n">
        <v>3</v>
      </c>
      <c r="F17" s="16" t="n">
        <v>4</v>
      </c>
      <c r="G17" s="16" t="n">
        <v>3</v>
      </c>
      <c r="H17" s="16" t="n">
        <v>4</v>
      </c>
      <c r="I17" s="16" t="n">
        <v>3</v>
      </c>
      <c r="J17" s="16" t="n">
        <v>3</v>
      </c>
      <c r="K17" s="16" t="n">
        <v>3</v>
      </c>
    </row>
    <row r="18">
      <c r="A18" s="7" t="n">
        <v>15</v>
      </c>
      <c r="B18" s="15" t="inlineStr">
        <is>
          <t>Создание эталонного участка</t>
        </is>
      </c>
      <c r="C18" s="16" t="n">
        <v>3</v>
      </c>
      <c r="D18" s="16" t="n">
        <v>3</v>
      </c>
      <c r="E18" s="16" t="n">
        <v>4</v>
      </c>
      <c r="F18" s="16" t="n">
        <v>3</v>
      </c>
      <c r="G18" s="16" t="n">
        <v>3</v>
      </c>
      <c r="H18" s="16" t="n">
        <v>3</v>
      </c>
      <c r="I18" s="16" t="n">
        <v>4</v>
      </c>
      <c r="J18" s="16" t="n">
        <v>3</v>
      </c>
      <c r="K18" s="16" t="n">
        <v>4</v>
      </c>
    </row>
    <row r="19">
      <c r="A19" s="7" t="n">
        <v>16</v>
      </c>
      <c r="B19" s="15" t="inlineStr">
        <is>
          <t>Проведение оценки уровня развития производственной системы предприятия</t>
        </is>
      </c>
      <c r="C19" s="16" t="n">
        <v>4</v>
      </c>
      <c r="D19" s="16" t="n">
        <v>4</v>
      </c>
      <c r="E19" s="16" t="n">
        <v>3</v>
      </c>
      <c r="F19" s="16" t="n">
        <v>3</v>
      </c>
      <c r="G19" s="16" t="n">
        <v>3</v>
      </c>
      <c r="H19" s="16" t="n">
        <v>3</v>
      </c>
      <c r="I19" s="16" t="n">
        <v>3</v>
      </c>
      <c r="J19" s="16" t="n">
        <v>4</v>
      </c>
      <c r="K19" s="16" t="n">
        <v>4</v>
      </c>
    </row>
    <row r="20">
      <c r="A20" s="7" t="n">
        <v>17</v>
      </c>
      <c r="B20" s="15" t="inlineStr">
        <is>
          <t>Внедрение информационных центров</t>
        </is>
      </c>
      <c r="C20" s="16" t="n">
        <v>3</v>
      </c>
      <c r="D20" s="16" t="n">
        <v>3</v>
      </c>
      <c r="E20" s="16" t="n">
        <v>3</v>
      </c>
      <c r="F20" s="16" t="n">
        <v>4</v>
      </c>
      <c r="G20" s="16" t="n">
        <v>4</v>
      </c>
      <c r="H20" s="16" t="n">
        <v>3</v>
      </c>
      <c r="I20" s="16" t="n">
        <v>3</v>
      </c>
      <c r="J20" s="16" t="n">
        <v>3</v>
      </c>
      <c r="K20" s="16" t="n">
        <v>3</v>
      </c>
    </row>
    <row r="21">
      <c r="A21" s="7" t="n">
        <v>18</v>
      </c>
      <c r="B21" s="15" t="inlineStr">
        <is>
          <t>Подготовка к проведению тренингов</t>
        </is>
      </c>
      <c r="C21" s="16" t="n">
        <v>3</v>
      </c>
      <c r="D21" s="16" t="n">
        <v>3</v>
      </c>
      <c r="E21" s="16" t="n">
        <v>4</v>
      </c>
      <c r="F21" s="16" t="n">
        <v>3</v>
      </c>
      <c r="G21" s="16" t="n">
        <v>3</v>
      </c>
      <c r="H21" s="16" t="n">
        <v>4</v>
      </c>
      <c r="I21" s="16" t="n">
        <v>3</v>
      </c>
      <c r="J21" s="16" t="n">
        <v>3</v>
      </c>
      <c r="K21" s="16" t="n">
        <v>3</v>
      </c>
    </row>
    <row r="22">
      <c r="A22" s="7" t="n">
        <v>19</v>
      </c>
      <c r="B22" s="15" t="inlineStr">
        <is>
          <t>Проведение тренингов по Бережливому производству</t>
        </is>
      </c>
      <c r="C22" s="16" t="n">
        <v>4</v>
      </c>
      <c r="D22" s="16" t="n">
        <v>4</v>
      </c>
      <c r="E22" s="16" t="n">
        <v>3</v>
      </c>
      <c r="F22" s="16" t="n">
        <v>3</v>
      </c>
      <c r="G22" s="16" t="n">
        <v>3</v>
      </c>
      <c r="H22" s="16" t="n">
        <v>3</v>
      </c>
      <c r="I22" s="16" t="n">
        <v>4</v>
      </c>
      <c r="J22" s="16" t="n">
        <v>3</v>
      </c>
      <c r="K22" s="16" t="n">
        <v>4</v>
      </c>
    </row>
    <row r="23">
      <c r="A23" s="7" t="n">
        <v>20</v>
      </c>
      <c r="B23" s="15" t="inlineStr">
        <is>
          <t>Мониторинг проводимого обучения</t>
        </is>
      </c>
      <c r="C23" s="16" t="n">
        <v>3</v>
      </c>
      <c r="D23" s="16" t="n">
        <v>3</v>
      </c>
      <c r="E23" s="16" t="n">
        <v>3</v>
      </c>
      <c r="F23" s="16" t="n">
        <v>4</v>
      </c>
      <c r="G23" s="16" t="n">
        <v>3</v>
      </c>
      <c r="H23" s="16" t="n">
        <v>3</v>
      </c>
      <c r="I23" s="16" t="n">
        <v>3</v>
      </c>
      <c r="J23" s="16" t="n">
        <v>3</v>
      </c>
      <c r="K23" s="16" t="n">
        <v>3</v>
      </c>
    </row>
    <row r="24">
      <c r="A24" s="7" t="n">
        <v>21</v>
      </c>
      <c r="B24" s="15" t="inlineStr">
        <is>
          <t>Картирование потоков и «Диаграмма спагетти»</t>
        </is>
      </c>
      <c r="C24" s="16" t="n">
        <v>3</v>
      </c>
      <c r="D24" s="16" t="n">
        <v>3</v>
      </c>
      <c r="E24" s="16" t="n">
        <v>4</v>
      </c>
      <c r="F24" s="16" t="n">
        <v>3</v>
      </c>
      <c r="G24" s="16" t="n">
        <v>4</v>
      </c>
      <c r="H24" s="16" t="n">
        <v>3</v>
      </c>
      <c r="I24" s="16" t="n">
        <v>3</v>
      </c>
      <c r="J24" s="16" t="n">
        <v>4</v>
      </c>
      <c r="K24" s="16" t="n">
        <v>3</v>
      </c>
    </row>
    <row r="25">
      <c r="A25" s="7" t="n">
        <v>22</v>
      </c>
      <c r="B25" s="15" t="inlineStr">
        <is>
          <t>Производственный анализ</t>
        </is>
      </c>
      <c r="C25" s="16" t="n">
        <v>4</v>
      </c>
      <c r="D25" s="16" t="n">
        <v>4</v>
      </c>
      <c r="E25" s="16" t="n">
        <v>3</v>
      </c>
      <c r="F25" s="16" t="n">
        <v>3</v>
      </c>
      <c r="G25" s="16" t="n">
        <v>3</v>
      </c>
      <c r="H25" s="16" t="n">
        <v>4</v>
      </c>
      <c r="I25" s="16" t="n">
        <v>3</v>
      </c>
      <c r="J25" s="16" t="n">
        <v>3</v>
      </c>
      <c r="K25" s="16" t="n">
        <v>4</v>
      </c>
    </row>
    <row r="26">
      <c r="A26" s="7" t="n">
        <v>23</v>
      </c>
      <c r="B26" s="15" t="inlineStr">
        <is>
          <t>Поток единичных изделий</t>
        </is>
      </c>
      <c r="C26" s="16" t="n">
        <v>3</v>
      </c>
      <c r="D26" s="16" t="n">
        <v>3</v>
      </c>
      <c r="E26" s="16" t="n">
        <v>3</v>
      </c>
      <c r="F26" s="16" t="n">
        <v>4</v>
      </c>
      <c r="G26" s="16" t="n">
        <v>3</v>
      </c>
      <c r="H26" s="16" t="n">
        <v>3</v>
      </c>
      <c r="I26" s="16" t="n">
        <v>4</v>
      </c>
      <c r="J26" s="16" t="n">
        <v>3</v>
      </c>
      <c r="K26" s="16" t="n">
        <v>3</v>
      </c>
    </row>
    <row r="27">
      <c r="A27" s="7" t="n">
        <v>24</v>
      </c>
      <c r="B27" s="15" t="inlineStr">
        <is>
          <t>Система «Канбан»</t>
        </is>
      </c>
      <c r="C27" s="16" t="n">
        <v>3</v>
      </c>
      <c r="D27" s="16" t="n">
        <v>3</v>
      </c>
      <c r="E27" s="16" t="n">
        <v>4</v>
      </c>
      <c r="F27" s="16" t="n">
        <v>3</v>
      </c>
      <c r="G27" s="16" t="n">
        <v>3</v>
      </c>
      <c r="H27" s="16" t="n">
        <v>3</v>
      </c>
      <c r="I27" s="16" t="n">
        <v>3</v>
      </c>
      <c r="J27" s="16" t="n">
        <v>3</v>
      </c>
      <c r="K27" s="16" t="n">
        <v>3</v>
      </c>
    </row>
    <row r="28">
      <c r="A28" s="7" t="n">
        <v>25</v>
      </c>
      <c r="B28" s="15" t="inlineStr">
        <is>
          <t>Стандартизированная работа</t>
        </is>
      </c>
      <c r="C28" s="16" t="n">
        <v>4</v>
      </c>
      <c r="D28" s="16" t="n">
        <v>4</v>
      </c>
      <c r="E28" s="16" t="n">
        <v>3</v>
      </c>
      <c r="F28" s="16" t="n">
        <v>3</v>
      </c>
      <c r="G28" s="16" t="n">
        <v>4</v>
      </c>
      <c r="H28" s="16" t="n">
        <v>3</v>
      </c>
      <c r="I28" s="16" t="n">
        <v>3</v>
      </c>
      <c r="J28" s="16" t="n">
        <v>3</v>
      </c>
      <c r="K28" s="16" t="n">
        <v>4</v>
      </c>
    </row>
    <row r="29">
      <c r="A29" s="7" t="n">
        <v>26</v>
      </c>
      <c r="B29" s="15" t="inlineStr">
        <is>
          <t>Методы поиска первопричин и решения проблем</t>
        </is>
      </c>
      <c r="C29" s="16" t="n">
        <v>3</v>
      </c>
      <c r="D29" s="16" t="n">
        <v>3</v>
      </c>
      <c r="E29" s="16" t="n">
        <v>3</v>
      </c>
      <c r="F29" s="16" t="n">
        <v>4</v>
      </c>
      <c r="G29" s="16" t="n">
        <v>3</v>
      </c>
      <c r="H29" s="16" t="n">
        <v>4</v>
      </c>
      <c r="I29" s="16" t="n">
        <v>3</v>
      </c>
      <c r="J29" s="16" t="n">
        <v>4</v>
      </c>
      <c r="K29" s="16" t="n">
        <v>3</v>
      </c>
    </row>
    <row r="30">
      <c r="A30" s="7" t="n">
        <v>27</v>
      </c>
      <c r="B30" s="15" t="inlineStr">
        <is>
          <t>Быстрая переналадка (SMED)</t>
        </is>
      </c>
      <c r="C30" s="16" t="n">
        <v>3</v>
      </c>
      <c r="D30" s="16" t="n">
        <v>3</v>
      </c>
      <c r="E30" s="16" t="n">
        <v>4</v>
      </c>
      <c r="F30" s="16" t="n">
        <v>3</v>
      </c>
      <c r="G30" s="16" t="n">
        <v>3</v>
      </c>
      <c r="H30" s="16" t="n">
        <v>3</v>
      </c>
      <c r="I30" s="16" t="n">
        <v>4</v>
      </c>
      <c r="J30" s="16" t="n">
        <v>3</v>
      </c>
      <c r="K30" s="16" t="n">
        <v>3</v>
      </c>
    </row>
    <row r="31">
      <c r="A31" s="7" t="n">
        <v>28</v>
      </c>
      <c r="B31" s="15" t="inlineStr">
        <is>
          <t>«Poka-Yoke» (защита от ошибок)</t>
        </is>
      </c>
      <c r="C31" s="16" t="n">
        <v>4</v>
      </c>
      <c r="D31" s="16" t="n">
        <v>4</v>
      </c>
      <c r="E31" s="16" t="n">
        <v>3</v>
      </c>
      <c r="F31" s="16" t="n">
        <v>3</v>
      </c>
      <c r="G31" s="16" t="n">
        <v>3</v>
      </c>
      <c r="H31" s="16" t="n">
        <v>3</v>
      </c>
      <c r="I31" s="16" t="n">
        <v>3</v>
      </c>
      <c r="J31" s="16" t="n">
        <v>3</v>
      </c>
      <c r="K31" s="16" t="n">
        <v>4</v>
      </c>
    </row>
    <row r="32">
      <c r="A32" s="7" t="n">
        <v>29</v>
      </c>
      <c r="B32" s="15" t="inlineStr">
        <is>
          <t>5С на производстве и в офисе</t>
        </is>
      </c>
      <c r="C32" s="16" t="n">
        <v>3</v>
      </c>
      <c r="D32" s="16" t="n">
        <v>3</v>
      </c>
      <c r="E32" s="16" t="n">
        <v>3</v>
      </c>
      <c r="F32" s="16" t="n">
        <v>4</v>
      </c>
      <c r="G32" s="16" t="n">
        <v>4</v>
      </c>
      <c r="H32" s="16" t="n">
        <v>3</v>
      </c>
      <c r="I32" s="16" t="n">
        <v>3</v>
      </c>
      <c r="J32" s="16" t="n">
        <v>3</v>
      </c>
      <c r="K32" s="16" t="n">
        <v>4</v>
      </c>
    </row>
    <row r="33">
      <c r="A33" s="7" t="n">
        <v>30</v>
      </c>
      <c r="B33" s="15" t="inlineStr">
        <is>
          <t>ОЕЕ — анализ эффективности оборудования</t>
        </is>
      </c>
      <c r="C33" s="16" t="n">
        <v>3</v>
      </c>
      <c r="D33" s="16" t="n">
        <v>3</v>
      </c>
      <c r="E33" s="16" t="n">
        <v>4</v>
      </c>
      <c r="F33" s="16" t="n">
        <v>3</v>
      </c>
      <c r="G33" s="16" t="n">
        <v>3</v>
      </c>
      <c r="H33" s="16" t="n">
        <v>4</v>
      </c>
      <c r="I33" s="16" t="n">
        <v>3</v>
      </c>
      <c r="J33" s="16" t="n">
        <v>3</v>
      </c>
      <c r="K33" s="16" t="n">
        <v>3</v>
      </c>
    </row>
    <row r="34">
      <c r="A34" s="7" t="n">
        <v>31</v>
      </c>
      <c r="B34" s="15" t="inlineStr">
        <is>
          <t>Автономное обслуживание оборудования</t>
        </is>
      </c>
      <c r="C34" s="16" t="n">
        <v>4</v>
      </c>
      <c r="D34" s="16" t="n">
        <v>4</v>
      </c>
      <c r="E34" s="16" t="n">
        <v>3</v>
      </c>
      <c r="F34" s="16" t="n">
        <v>3</v>
      </c>
      <c r="G34" s="16" t="n">
        <v>3</v>
      </c>
      <c r="H34" s="16" t="n">
        <v>3</v>
      </c>
      <c r="I34" s="16" t="n">
        <v>4</v>
      </c>
      <c r="J34" s="16" t="n">
        <v>4</v>
      </c>
      <c r="K34" s="16" t="n">
        <v>4</v>
      </c>
    </row>
    <row r="35">
      <c r="A35" s="7" t="n">
        <v>32</v>
      </c>
      <c r="B35" s="15" t="inlineStr">
        <is>
          <t>Управление запасами</t>
        </is>
      </c>
      <c r="C35" s="16" t="n">
        <v>3</v>
      </c>
      <c r="D35" s="16" t="n">
        <v>3</v>
      </c>
      <c r="E35" s="16" t="n">
        <v>3</v>
      </c>
      <c r="F35" s="16" t="n">
        <v>4</v>
      </c>
      <c r="G35" s="16" t="n">
        <v>3</v>
      </c>
      <c r="H35" s="16" t="n">
        <v>3</v>
      </c>
      <c r="I35" s="16" t="n">
        <v>3</v>
      </c>
      <c r="J35" s="16" t="n">
        <v>3</v>
      </c>
      <c r="K35" s="16" t="n">
        <v>3</v>
      </c>
    </row>
    <row r="36">
      <c r="A36" s="7" t="n">
        <v>33</v>
      </c>
      <c r="B36" s="15" t="inlineStr">
        <is>
          <t>Сбор и проверка данных от предприятий-участников, выработка корректирующих мероприятий</t>
        </is>
      </c>
      <c r="C36" s="16" t="n">
        <v>3</v>
      </c>
      <c r="D36" s="16" t="n">
        <v>3</v>
      </c>
      <c r="E36" s="16" t="n">
        <v>4</v>
      </c>
      <c r="F36" s="16" t="n">
        <v>3</v>
      </c>
      <c r="G36" s="16" t="n">
        <v>4</v>
      </c>
      <c r="H36" s="16" t="n">
        <v>3</v>
      </c>
      <c r="I36" s="16" t="n">
        <v>3</v>
      </c>
      <c r="J36" s="16" t="n">
        <v>3</v>
      </c>
      <c r="K36" s="16" t="n">
        <v>3</v>
      </c>
    </row>
    <row r="37">
      <c r="A37" s="7" t="n">
        <v>34</v>
      </c>
      <c r="B37" s="15" t="inlineStr">
        <is>
          <t>Мониторинг реализации программы на фазе «Тиражирование и совершенствование» (поддерживающие сессии)</t>
        </is>
      </c>
      <c r="C37" s="16" t="n">
        <v>4</v>
      </c>
      <c r="D37" s="16" t="n">
        <v>4</v>
      </c>
      <c r="E37" s="16" t="n">
        <v>3</v>
      </c>
      <c r="F37" s="16" t="n">
        <v>3</v>
      </c>
      <c r="G37" s="16" t="n">
        <v>3</v>
      </c>
      <c r="H37" s="16" t="n">
        <v>4</v>
      </c>
      <c r="I37" s="16" t="n">
        <v>3</v>
      </c>
      <c r="J37" s="16" t="n">
        <v>3</v>
      </c>
      <c r="K37" s="16" t="n">
        <v>4</v>
      </c>
    </row>
    <row r="38">
      <c r="A38" s="7" t="n">
        <v>35</v>
      </c>
      <c r="B38" s="15" t="inlineStr">
        <is>
          <t>Поиск и распространение лучших практик по производительности труда</t>
        </is>
      </c>
      <c r="C38" s="16" t="n">
        <v>3</v>
      </c>
      <c r="D38" s="16" t="n">
        <v>3</v>
      </c>
      <c r="E38" s="16" t="n">
        <v>3</v>
      </c>
      <c r="F38" s="16" t="n">
        <v>4</v>
      </c>
      <c r="G38" s="16" t="n">
        <v>3</v>
      </c>
      <c r="H38" s="16" t="n">
        <v>3</v>
      </c>
      <c r="I38" s="16" t="n">
        <v>4</v>
      </c>
      <c r="J38" s="16" t="n">
        <v>3</v>
      </c>
      <c r="K38" s="16" t="n">
        <v>3</v>
      </c>
    </row>
    <row r="39">
      <c r="A39" s="7" t="n">
        <v>36</v>
      </c>
      <c r="B39" s="15" t="inlineStr">
        <is>
          <t>Организация работы с предложениями по улучшению (ППУ)</t>
        </is>
      </c>
      <c r="C39" s="16" t="n">
        <v>3</v>
      </c>
      <c r="D39" s="16" t="n">
        <v>3</v>
      </c>
      <c r="E39" s="16" t="n">
        <v>4</v>
      </c>
      <c r="F39" s="16" t="n">
        <v>3</v>
      </c>
      <c r="G39" s="16" t="n">
        <v>3</v>
      </c>
      <c r="H39" s="16" t="n">
        <v>3</v>
      </c>
      <c r="I39" s="16" t="n">
        <v>3</v>
      </c>
      <c r="J39" s="16" t="n">
        <v>4</v>
      </c>
      <c r="K39" s="16" t="n">
        <v>4</v>
      </c>
    </row>
    <row r="40">
      <c r="A40" s="7" t="n">
        <v>37</v>
      </c>
      <c r="B40" s="15" t="inlineStr">
        <is>
          <t>Ведение мониторинга проектов в подсистеме «Совместная работа» на ИТ-платформе</t>
        </is>
      </c>
      <c r="C40" s="16" t="n">
        <v>4</v>
      </c>
      <c r="D40" s="16" t="n">
        <v>4</v>
      </c>
      <c r="E40" s="16" t="n">
        <v>3</v>
      </c>
      <c r="F40" s="16" t="n">
        <v>3</v>
      </c>
      <c r="G40" s="16" t="n">
        <v>4</v>
      </c>
      <c r="H40" s="16" t="n">
        <v>3</v>
      </c>
      <c r="I40" s="16" t="n">
        <v>3</v>
      </c>
      <c r="J40" s="16" t="n">
        <v>3</v>
      </c>
      <c r="K40" s="16" t="n">
        <v>4</v>
      </c>
    </row>
    <row r="42" ht="20" customHeight="1">
      <c r="A42" s="17" t="inlineStr">
        <is>
          <t>РП-2 — (впишите ФИО руководителя проекта 2)</t>
        </is>
      </c>
    </row>
    <row r="43">
      <c r="A43" s="7" t="n">
        <v>1</v>
      </c>
      <c r="B43" s="8" t="inlineStr">
        <is>
          <t>Проведение оценки на соответствие предприятия обязательным критериям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>
        <v>2</v>
      </c>
      <c r="B44" s="8" t="inlineStr">
        <is>
          <t>Проведение оценки готовности руководства предприятия к участию в проекте (интервью)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>
        <v>3</v>
      </c>
      <c r="B45" s="8" t="inlineStr">
        <is>
          <t>Проведение визуальной оценки производственного процесса на предприятии (визит на площадку)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>
        <v>4</v>
      </c>
      <c r="B46" s="8" t="inlineStr">
        <is>
          <t>Вовлечение руководства предприятий в федеральный проект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>
        <v>5</v>
      </c>
      <c r="B47" s="8" t="inlineStr">
        <is>
          <t>Подписание соглашения о сотрудничестве между РЦК и предприятием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>
        <v>6</v>
      </c>
      <c r="B48" s="10" t="inlineStr">
        <is>
          <t>Реализация организационных вех программы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>
        <v>7</v>
      </c>
      <c r="B49" s="10" t="inlineStr">
        <is>
          <t>Формирование проектного офиса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>
        <v>8</v>
      </c>
      <c r="B50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>
        <v>9</v>
      </c>
      <c r="B51" s="10" t="inlineStr">
        <is>
          <t>Выявление степени готовности предприятия к изменениям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>
        <v>10</v>
      </c>
      <c r="B52" s="10" t="inlineStr">
        <is>
          <t>Составление плана ключевых событий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>
        <v>11</v>
      </c>
      <c r="B53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>
        <v>12</v>
      </c>
      <c r="B54" s="10" t="inlineStr">
        <is>
          <t>Проведение анализа показателей проектов повышения производительности труда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>
        <v>13</v>
      </c>
      <c r="B55" s="10" t="inlineStr">
        <is>
          <t>Создание карточки проекта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>
        <v>14</v>
      </c>
      <c r="B56" s="10" t="inlineStr">
        <is>
          <t>Создание информационного центра проекта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>
        <v>15</v>
      </c>
      <c r="B57" s="10" t="inlineStr">
        <is>
          <t>Создание эталонного участка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>
        <v>16</v>
      </c>
      <c r="B58" s="10" t="inlineStr">
        <is>
          <t>Проведение оценки уровня развития производственной системы предприятия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>
        <v>17</v>
      </c>
      <c r="B59" s="10" t="inlineStr">
        <is>
          <t>Внедрение информационных центров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>
        <v>18</v>
      </c>
      <c r="B60" s="10" t="inlineStr">
        <is>
          <t>Подготовка к проведению тренингов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>
        <v>19</v>
      </c>
      <c r="B61" s="10" t="inlineStr">
        <is>
          <t>Проведение тренингов по Бережливому производству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>
        <v>20</v>
      </c>
      <c r="B62" s="10" t="inlineStr">
        <is>
          <t>Мониторинг проводимого обучения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>
        <v>21</v>
      </c>
      <c r="B63" s="11" t="inlineStr">
        <is>
          <t>Картирование потоков и «Диаграмма спагетти»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>
        <v>22</v>
      </c>
      <c r="B64" s="11" t="inlineStr">
        <is>
          <t>Производственный анализ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>
        <v>23</v>
      </c>
      <c r="B65" s="11" t="inlineStr">
        <is>
          <t>Поток единичных изделий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>
        <v>24</v>
      </c>
      <c r="B66" s="11" t="inlineStr">
        <is>
          <t>Система «Канбан»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>
        <v>25</v>
      </c>
      <c r="B67" s="11" t="inlineStr">
        <is>
          <t>Стандартизированная работа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>
        <v>26</v>
      </c>
      <c r="B68" s="11" t="inlineStr">
        <is>
          <t>Методы поиска первопричин и решения проблем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>
        <v>27</v>
      </c>
      <c r="B69" s="11" t="inlineStr">
        <is>
          <t>Быстрая переналадка (SMED)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>
        <v>28</v>
      </c>
      <c r="B70" s="11" t="inlineStr">
        <is>
          <t>«Poka-Yoke» (защита от ошибок)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>
        <v>29</v>
      </c>
      <c r="B71" s="11" t="inlineStr">
        <is>
          <t>5С на производстве и в офисе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>
        <v>30</v>
      </c>
      <c r="B72" s="11" t="inlineStr">
        <is>
          <t>ОЕЕ — анализ эффективности оборудования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>
        <v>31</v>
      </c>
      <c r="B73" s="11" t="inlineStr">
        <is>
          <t>Автономное обслуживание оборудования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>
        <v>32</v>
      </c>
      <c r="B74" s="11" t="inlineStr">
        <is>
          <t>Управление запасами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>
        <v>33</v>
      </c>
      <c r="B75" s="12" t="inlineStr">
        <is>
          <t>Сбор и проверка данных от предприятий-участников, выработка корректирующих мероприятий</t>
        </is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>
        <v>34</v>
      </c>
      <c r="B76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>
        <v>35</v>
      </c>
      <c r="B77" s="12" t="inlineStr">
        <is>
          <t>Поиск и распространение лучших практик по производительности труда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>
        <v>36</v>
      </c>
      <c r="B78" s="12" t="inlineStr">
        <is>
          <t>Организация работы с предложениями по улучшению (ППУ)</t>
        </is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>
        <v>37</v>
      </c>
      <c r="B79" s="12" t="inlineStr">
        <is>
          <t>Ведение мониторинга проектов в подсистеме «Совместная работа» на ИТ-платформе</t>
        </is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1" ht="20" customHeight="1">
      <c r="A81" s="17" t="inlineStr">
        <is>
          <t>РП-3 — (впишите ФИО руководителя проекта 3)</t>
        </is>
      </c>
    </row>
    <row r="82">
      <c r="A82" s="7" t="n">
        <v>1</v>
      </c>
      <c r="B82" s="8" t="inlineStr">
        <is>
          <t>Проведение оценки на соответствие предприятия обязательным критериям</t>
        </is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>
        <v>2</v>
      </c>
      <c r="B83" s="8" t="inlineStr">
        <is>
          <t>Проведение оценки готовности руководства предприятия к участию в проекте (интервью)</t>
        </is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>
        <v>3</v>
      </c>
      <c r="B84" s="8" t="inlineStr">
        <is>
          <t>Проведение визуальной оценки производственного процесса на предприятии (визит на площадку)</t>
        </is>
      </c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>
        <v>4</v>
      </c>
      <c r="B85" s="8" t="inlineStr">
        <is>
          <t>Вовлечение руководства предприятий в федеральный проект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>
        <v>5</v>
      </c>
      <c r="B86" s="8" t="inlineStr">
        <is>
          <t>Подписание соглашения о сотрудничестве между РЦК и предприятием</t>
        </is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>
        <v>6</v>
      </c>
      <c r="B87" s="10" t="inlineStr">
        <is>
          <t>Реализация организационных вех программы</t>
        </is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>
        <v>7</v>
      </c>
      <c r="B88" s="10" t="inlineStr">
        <is>
          <t>Формирование проектного офиса</t>
        </is>
      </c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>
        <v>8</v>
      </c>
      <c r="B89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>
        <v>9</v>
      </c>
      <c r="B90" s="10" t="inlineStr">
        <is>
          <t>Выявление степени готовности предприятия к изменениям</t>
        </is>
      </c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>
        <v>10</v>
      </c>
      <c r="B91" s="10" t="inlineStr">
        <is>
          <t>Составление плана ключевых событий</t>
        </is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>
        <v>11</v>
      </c>
      <c r="B92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>
        <v>12</v>
      </c>
      <c r="B93" s="10" t="inlineStr">
        <is>
          <t>Проведение анализа показателей проектов повышения производительности труда</t>
        </is>
      </c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>
        <v>13</v>
      </c>
      <c r="B94" s="10" t="inlineStr">
        <is>
          <t>Создание карточки проекта</t>
        </is>
      </c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>
        <v>14</v>
      </c>
      <c r="B95" s="10" t="inlineStr">
        <is>
          <t>Создание информационного центра проекта</t>
        </is>
      </c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>
        <v>15</v>
      </c>
      <c r="B96" s="10" t="inlineStr">
        <is>
          <t>Создание эталонного участка</t>
        </is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>
        <v>16</v>
      </c>
      <c r="B97" s="10" t="inlineStr">
        <is>
          <t>Проведение оценки уровня развития производственной системы предприятия</t>
        </is>
      </c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>
        <v>17</v>
      </c>
      <c r="B98" s="10" t="inlineStr">
        <is>
          <t>Внедрение информационных центров</t>
        </is>
      </c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>
        <v>18</v>
      </c>
      <c r="B99" s="10" t="inlineStr">
        <is>
          <t>Подготовка к проведению тренингов</t>
        </is>
      </c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>
        <v>19</v>
      </c>
      <c r="B100" s="10" t="inlineStr">
        <is>
          <t>Проведение тренингов по Бережливому производству</t>
        </is>
      </c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>
        <v>20</v>
      </c>
      <c r="B101" s="10" t="inlineStr">
        <is>
          <t>Мониторинг проводимого обучения</t>
        </is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>
        <v>21</v>
      </c>
      <c r="B102" s="11" t="inlineStr">
        <is>
          <t>Картирование потоков и «Диаграмма спагетти»</t>
        </is>
      </c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>
        <v>22</v>
      </c>
      <c r="B103" s="11" t="inlineStr">
        <is>
          <t>Производственный анализ</t>
        </is>
      </c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>
        <v>23</v>
      </c>
      <c r="B104" s="11" t="inlineStr">
        <is>
          <t>Поток единичных изделий</t>
        </is>
      </c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>
        <v>24</v>
      </c>
      <c r="B105" s="11" t="inlineStr">
        <is>
          <t>Система «Канбан»</t>
        </is>
      </c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>
        <v>25</v>
      </c>
      <c r="B106" s="11" t="inlineStr">
        <is>
          <t>Стандартизированная работа</t>
        </is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>
        <v>26</v>
      </c>
      <c r="B107" s="11" t="inlineStr">
        <is>
          <t>Методы поиска первопричин и решения проблем</t>
        </is>
      </c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>
        <v>27</v>
      </c>
      <c r="B108" s="11" t="inlineStr">
        <is>
          <t>Быстрая переналадка (SMED)</t>
        </is>
      </c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>
        <v>28</v>
      </c>
      <c r="B109" s="11" t="inlineStr">
        <is>
          <t>«Poka-Yoke» (защита от ошибок)</t>
        </is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>
        <v>29</v>
      </c>
      <c r="B110" s="11" t="inlineStr">
        <is>
          <t>5С на производстве и в офисе</t>
        </is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>
        <v>30</v>
      </c>
      <c r="B111" s="11" t="inlineStr">
        <is>
          <t>ОЕЕ — анализ эффективности оборудования</t>
        </is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>
        <v>31</v>
      </c>
      <c r="B112" s="11" t="inlineStr">
        <is>
          <t>Автономное обслуживание оборудования</t>
        </is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>
        <v>32</v>
      </c>
      <c r="B113" s="11" t="inlineStr">
        <is>
          <t>Управление запасами</t>
        </is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>
        <v>33</v>
      </c>
      <c r="B114" s="12" t="inlineStr">
        <is>
          <t>Сбор и проверка данных от предприятий-участников, выработка корректирующих мероприятий</t>
        </is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>
        <v>34</v>
      </c>
      <c r="B115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>
        <v>35</v>
      </c>
      <c r="B116" s="12" t="inlineStr">
        <is>
          <t>Поиск и распространение лучших практик по производительности труда</t>
        </is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>
        <v>36</v>
      </c>
      <c r="B117" s="12" t="inlineStr">
        <is>
          <t>Организация работы с предложениями по улучшению (ППУ)</t>
        </is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>
        <v>37</v>
      </c>
      <c r="B118" s="12" t="inlineStr">
        <is>
          <t>Ведение мониторинга проектов в подсистеме «Совместная работа» на ИТ-платформе</t>
        </is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20" ht="20" customHeight="1">
      <c r="A120" s="17" t="inlineStr">
        <is>
          <t>РП-4 — (впишите ФИО руководителя проекта 4)</t>
        </is>
      </c>
    </row>
    <row r="121">
      <c r="A121" s="7" t="n">
        <v>1</v>
      </c>
      <c r="B121" s="8" t="inlineStr">
        <is>
          <t>Проведение оценки на соответствие предприятия обязательным критериям</t>
        </is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>
        <v>2</v>
      </c>
      <c r="B122" s="8" t="inlineStr">
        <is>
          <t>Проведение оценки готовности руководства предприятия к участию в проекте (интервью)</t>
        </is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>
        <v>3</v>
      </c>
      <c r="B123" s="8" t="inlineStr">
        <is>
          <t>Проведение визуальной оценки производственного процесса на предприятии (визит на площадку)</t>
        </is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>
        <v>4</v>
      </c>
      <c r="B124" s="8" t="inlineStr">
        <is>
          <t>Вовлечение руководства предприятий в федеральный проект</t>
        </is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>
        <v>5</v>
      </c>
      <c r="B125" s="8" t="inlineStr">
        <is>
          <t>Подписание соглашения о сотрудничестве между РЦК и предприятием</t>
        </is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>
        <v>6</v>
      </c>
      <c r="B126" s="10" t="inlineStr">
        <is>
          <t>Реализация организационных вех программы</t>
        </is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>
        <v>7</v>
      </c>
      <c r="B127" s="10" t="inlineStr">
        <is>
          <t>Формирование проектного офиса</t>
        </is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>
        <v>8</v>
      </c>
      <c r="B128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>
        <v>9</v>
      </c>
      <c r="B129" s="10" t="inlineStr">
        <is>
          <t>Выявление степени готовности предприятия к изменениям</t>
        </is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>
        <v>10</v>
      </c>
      <c r="B130" s="10" t="inlineStr">
        <is>
          <t>Составление плана ключевых событий</t>
        </is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>
        <v>11</v>
      </c>
      <c r="B131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>
        <v>12</v>
      </c>
      <c r="B132" s="10" t="inlineStr">
        <is>
          <t>Проведение анализа показателей проектов повышения производительности труда</t>
        </is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>
        <v>13</v>
      </c>
      <c r="B133" s="10" t="inlineStr">
        <is>
          <t>Создание карточки проекта</t>
        </is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>
        <v>14</v>
      </c>
      <c r="B134" s="10" t="inlineStr">
        <is>
          <t>Создание информационного центра проекта</t>
        </is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>
        <v>15</v>
      </c>
      <c r="B135" s="10" t="inlineStr">
        <is>
          <t>Создание эталонного участка</t>
        </is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>
        <v>16</v>
      </c>
      <c r="B136" s="10" t="inlineStr">
        <is>
          <t>Проведение оценки уровня развития производственной системы предприятия</t>
        </is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>
        <v>17</v>
      </c>
      <c r="B137" s="10" t="inlineStr">
        <is>
          <t>Внедрение информационных центров</t>
        </is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>
        <v>18</v>
      </c>
      <c r="B138" s="10" t="inlineStr">
        <is>
          <t>Подготовка к проведению тренингов</t>
        </is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>
        <v>19</v>
      </c>
      <c r="B139" s="10" t="inlineStr">
        <is>
          <t>Проведение тренингов по Бережливому производству</t>
        </is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>
        <v>20</v>
      </c>
      <c r="B140" s="10" t="inlineStr">
        <is>
          <t>Мониторинг проводимого обучения</t>
        </is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>
        <v>21</v>
      </c>
      <c r="B141" s="11" t="inlineStr">
        <is>
          <t>Картирование потоков и «Диаграмма спагетти»</t>
        </is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>
        <v>22</v>
      </c>
      <c r="B142" s="11" t="inlineStr">
        <is>
          <t>Производственный анализ</t>
        </is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>
        <v>23</v>
      </c>
      <c r="B143" s="11" t="inlineStr">
        <is>
          <t>Поток единичных изделий</t>
        </is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>
        <v>24</v>
      </c>
      <c r="B144" s="11" t="inlineStr">
        <is>
          <t>Система «Канбан»</t>
        </is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>
        <v>25</v>
      </c>
      <c r="B145" s="11" t="inlineStr">
        <is>
          <t>Стандартизированная работа</t>
        </is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>
        <v>26</v>
      </c>
      <c r="B146" s="11" t="inlineStr">
        <is>
          <t>Методы поиска первопричин и решения проблем</t>
        </is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>
        <v>27</v>
      </c>
      <c r="B147" s="11" t="inlineStr">
        <is>
          <t>Быстрая переналадка (SMED)</t>
        </is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>
        <v>28</v>
      </c>
      <c r="B148" s="11" t="inlineStr">
        <is>
          <t>«Poka-Yoke» (защита от ошибок)</t>
        </is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>
        <v>29</v>
      </c>
      <c r="B149" s="11" t="inlineStr">
        <is>
          <t>5С на производстве и в офисе</t>
        </is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>
        <v>30</v>
      </c>
      <c r="B150" s="11" t="inlineStr">
        <is>
          <t>ОЕЕ — анализ эффективности оборудования</t>
        </is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>
        <v>31</v>
      </c>
      <c r="B151" s="11" t="inlineStr">
        <is>
          <t>Автономное обслуживание оборудования</t>
        </is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>
        <v>32</v>
      </c>
      <c r="B152" s="11" t="inlineStr">
        <is>
          <t>Управление запасами</t>
        </is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>
        <v>33</v>
      </c>
      <c r="B153" s="12" t="inlineStr">
        <is>
          <t>Сбор и проверка данных от предприятий-участников, выработка корректирующих мероприятий</t>
        </is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>
        <v>34</v>
      </c>
      <c r="B154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>
        <v>35</v>
      </c>
      <c r="B155" s="12" t="inlineStr">
        <is>
          <t>Поиск и распространение лучших практик по производительности труда</t>
        </is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>
        <v>36</v>
      </c>
      <c r="B156" s="12" t="inlineStr">
        <is>
          <t>Организация работы с предложениями по улучшению (ППУ)</t>
        </is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>
        <v>37</v>
      </c>
      <c r="B157" s="12" t="inlineStr">
        <is>
          <t>Ведение мониторинга проектов в подсистеме «Совместная работа» на ИТ-платформе</t>
        </is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9" ht="20" customHeight="1">
      <c r="A159" s="17" t="inlineStr">
        <is>
          <t>РП-5 — (впишите ФИО руководителя проекта 5)</t>
        </is>
      </c>
    </row>
    <row r="160">
      <c r="A160" s="7" t="n">
        <v>1</v>
      </c>
      <c r="B160" s="8" t="inlineStr">
        <is>
          <t>Проведение оценки на соответствие предприятия обязательным критериям</t>
        </is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>
        <v>2</v>
      </c>
      <c r="B161" s="8" t="inlineStr">
        <is>
          <t>Проведение оценки готовности руководства предприятия к участию в проекте (интервью)</t>
        </is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>
        <v>3</v>
      </c>
      <c r="B162" s="8" t="inlineStr">
        <is>
          <t>Проведение визуальной оценки производственного процесса на предприятии (визит на площадку)</t>
        </is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>
        <v>4</v>
      </c>
      <c r="B163" s="8" t="inlineStr">
        <is>
          <t>Вовлечение руководства предприятий в федеральный проект</t>
        </is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>
        <v>5</v>
      </c>
      <c r="B164" s="8" t="inlineStr">
        <is>
          <t>Подписание соглашения о сотрудничестве между РЦК и предприятием</t>
        </is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>
        <v>6</v>
      </c>
      <c r="B165" s="10" t="inlineStr">
        <is>
          <t>Реализация организационных вех программы</t>
        </is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>
        <v>7</v>
      </c>
      <c r="B166" s="10" t="inlineStr">
        <is>
          <t>Формирование проектного офиса</t>
        </is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>
        <v>8</v>
      </c>
      <c r="B167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>
        <v>9</v>
      </c>
      <c r="B168" s="10" t="inlineStr">
        <is>
          <t>Выявление степени готовности предприятия к изменениям</t>
        </is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>
        <v>10</v>
      </c>
      <c r="B169" s="10" t="inlineStr">
        <is>
          <t>Составление плана ключевых событий</t>
        </is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>
        <v>11</v>
      </c>
      <c r="B170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>
        <v>12</v>
      </c>
      <c r="B171" s="10" t="inlineStr">
        <is>
          <t>Проведение анализа показателей проектов повышения производительности труда</t>
        </is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>
        <v>13</v>
      </c>
      <c r="B172" s="10" t="inlineStr">
        <is>
          <t>Создание карточки проекта</t>
        </is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>
        <v>14</v>
      </c>
      <c r="B173" s="10" t="inlineStr">
        <is>
          <t>Создание информационного центра проекта</t>
        </is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>
        <v>15</v>
      </c>
      <c r="B174" s="10" t="inlineStr">
        <is>
          <t>Создание эталонного участка</t>
        </is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>
        <v>16</v>
      </c>
      <c r="B175" s="10" t="inlineStr">
        <is>
          <t>Проведение оценки уровня развития производственной системы предприятия</t>
        </is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>
        <v>17</v>
      </c>
      <c r="B176" s="10" t="inlineStr">
        <is>
          <t>Внедрение информационных центров</t>
        </is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>
        <v>18</v>
      </c>
      <c r="B177" s="10" t="inlineStr">
        <is>
          <t>Подготовка к проведению тренингов</t>
        </is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>
        <v>19</v>
      </c>
      <c r="B178" s="10" t="inlineStr">
        <is>
          <t>Проведение тренингов по Бережливому производству</t>
        </is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>
        <v>20</v>
      </c>
      <c r="B179" s="10" t="inlineStr">
        <is>
          <t>Мониторинг проводимого обучения</t>
        </is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>
        <v>21</v>
      </c>
      <c r="B180" s="11" t="inlineStr">
        <is>
          <t>Картирование потоков и «Диаграмма спагетти»</t>
        </is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>
        <v>22</v>
      </c>
      <c r="B181" s="11" t="inlineStr">
        <is>
          <t>Производственный анализ</t>
        </is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>
        <v>23</v>
      </c>
      <c r="B182" s="11" t="inlineStr">
        <is>
          <t>Поток единичных изделий</t>
        </is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>
        <v>24</v>
      </c>
      <c r="B183" s="11" t="inlineStr">
        <is>
          <t>Система «Канбан»</t>
        </is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>
        <v>25</v>
      </c>
      <c r="B184" s="11" t="inlineStr">
        <is>
          <t>Стандартизированная работа</t>
        </is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>
        <v>26</v>
      </c>
      <c r="B185" s="11" t="inlineStr">
        <is>
          <t>Методы поиска первопричин и решения проблем</t>
        </is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>
        <v>27</v>
      </c>
      <c r="B186" s="11" t="inlineStr">
        <is>
          <t>Быстрая переналадка (SMED)</t>
        </is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>
        <v>28</v>
      </c>
      <c r="B187" s="11" t="inlineStr">
        <is>
          <t>«Poka-Yoke» (защита от ошибок)</t>
        </is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>
        <v>29</v>
      </c>
      <c r="B188" s="11" t="inlineStr">
        <is>
          <t>5С на производстве и в офисе</t>
        </is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>
        <v>30</v>
      </c>
      <c r="B189" s="11" t="inlineStr">
        <is>
          <t>ОЕЕ — анализ эффективности оборудования</t>
        </is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>
        <v>31</v>
      </c>
      <c r="B190" s="11" t="inlineStr">
        <is>
          <t>Автономное обслуживание оборудования</t>
        </is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>
        <v>32</v>
      </c>
      <c r="B191" s="11" t="inlineStr">
        <is>
          <t>Управление запасами</t>
        </is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>
        <v>33</v>
      </c>
      <c r="B192" s="12" t="inlineStr">
        <is>
          <t>Сбор и проверка данных от предприятий-участников, выработка корректирующих мероприятий</t>
        </is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>
        <v>34</v>
      </c>
      <c r="B193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>
        <v>35</v>
      </c>
      <c r="B194" s="12" t="inlineStr">
        <is>
          <t>Поиск и распространение лучших практик по производительности труда</t>
        </is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>
        <v>36</v>
      </c>
      <c r="B195" s="12" t="inlineStr">
        <is>
          <t>Организация работы с предложениями по улучшению (ППУ)</t>
        </is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>
        <v>37</v>
      </c>
      <c r="B196" s="12" t="inlineStr">
        <is>
          <t>Ведение мониторинга проектов в подсистеме «Совместная работа» на ИТ-платформе</t>
        </is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8" ht="20" customHeight="1">
      <c r="A198" s="17" t="inlineStr">
        <is>
          <t>РП-6 — (впишите ФИО руководителя проекта 6)</t>
        </is>
      </c>
    </row>
    <row r="199">
      <c r="A199" s="7" t="n">
        <v>1</v>
      </c>
      <c r="B199" s="8" t="inlineStr">
        <is>
          <t>Проведение оценки на соответствие предприятия обязательным критериям</t>
        </is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>
        <v>2</v>
      </c>
      <c r="B200" s="8" t="inlineStr">
        <is>
          <t>Проведение оценки готовности руководства предприятия к участию в проекте (интервью)</t>
        </is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>
        <v>3</v>
      </c>
      <c r="B201" s="8" t="inlineStr">
        <is>
          <t>Проведение визуальной оценки производственного процесса на предприятии (визит на площадку)</t>
        </is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>
        <v>4</v>
      </c>
      <c r="B202" s="8" t="inlineStr">
        <is>
          <t>Вовлечение руководства предприятий в федеральный проект</t>
        </is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>
        <v>5</v>
      </c>
      <c r="B203" s="8" t="inlineStr">
        <is>
          <t>Подписание соглашения о сотрудничестве между РЦК и предприятием</t>
        </is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>
        <v>6</v>
      </c>
      <c r="B204" s="10" t="inlineStr">
        <is>
          <t>Реализация организационных вех программы</t>
        </is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>
        <v>7</v>
      </c>
      <c r="B205" s="10" t="inlineStr">
        <is>
          <t>Формирование проектного офиса</t>
        </is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7" t="n">
        <v>8</v>
      </c>
      <c r="B206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7" t="n">
        <v>9</v>
      </c>
      <c r="B207" s="10" t="inlineStr">
        <is>
          <t>Выявление степени готовности предприятия к изменениям</t>
        </is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7" t="n">
        <v>10</v>
      </c>
      <c r="B208" s="10" t="inlineStr">
        <is>
          <t>Составление плана ключевых событий</t>
        </is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7" t="n">
        <v>11</v>
      </c>
      <c r="B209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7" t="n">
        <v>12</v>
      </c>
      <c r="B210" s="10" t="inlineStr">
        <is>
          <t>Проведение анализа показателей проектов повышения производительности труда</t>
        </is>
      </c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7" t="n">
        <v>13</v>
      </c>
      <c r="B211" s="10" t="inlineStr">
        <is>
          <t>Создание карточки проекта</t>
        </is>
      </c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7" t="n">
        <v>14</v>
      </c>
      <c r="B212" s="10" t="inlineStr">
        <is>
          <t>Создание информационного центра проекта</t>
        </is>
      </c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7" t="n">
        <v>15</v>
      </c>
      <c r="B213" s="10" t="inlineStr">
        <is>
          <t>Создание эталонного участка</t>
        </is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7" t="n">
        <v>16</v>
      </c>
      <c r="B214" s="10" t="inlineStr">
        <is>
          <t>Проведение оценки уровня развития производственной системы предприятия</t>
        </is>
      </c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7" t="n">
        <v>17</v>
      </c>
      <c r="B215" s="10" t="inlineStr">
        <is>
          <t>Внедрение информационных центров</t>
        </is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7" t="n">
        <v>18</v>
      </c>
      <c r="B216" s="10" t="inlineStr">
        <is>
          <t>Подготовка к проведению тренингов</t>
        </is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7" t="n">
        <v>19</v>
      </c>
      <c r="B217" s="10" t="inlineStr">
        <is>
          <t>Проведение тренингов по Бережливому производству</t>
        </is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7" t="n">
        <v>20</v>
      </c>
      <c r="B218" s="10" t="inlineStr">
        <is>
          <t>Мониторинг проводимого обучения</t>
        </is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7" t="n">
        <v>21</v>
      </c>
      <c r="B219" s="11" t="inlineStr">
        <is>
          <t>Картирование потоков и «Диаграмма спагетти»</t>
        </is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7" t="n">
        <v>22</v>
      </c>
      <c r="B220" s="11" t="inlineStr">
        <is>
          <t>Производственный анализ</t>
        </is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7" t="n">
        <v>23</v>
      </c>
      <c r="B221" s="11" t="inlineStr">
        <is>
          <t>Поток единичных изделий</t>
        </is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7" t="n">
        <v>24</v>
      </c>
      <c r="B222" s="11" t="inlineStr">
        <is>
          <t>Система «Канбан»</t>
        </is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7" t="n">
        <v>25</v>
      </c>
      <c r="B223" s="11" t="inlineStr">
        <is>
          <t>Стандартизированная работа</t>
        </is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7" t="n">
        <v>26</v>
      </c>
      <c r="B224" s="11" t="inlineStr">
        <is>
          <t>Методы поиска первопричин и решения проблем</t>
        </is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7" t="n">
        <v>27</v>
      </c>
      <c r="B225" s="11" t="inlineStr">
        <is>
          <t>Быстрая переналадка (SMED)</t>
        </is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7" t="n">
        <v>28</v>
      </c>
      <c r="B226" s="11" t="inlineStr">
        <is>
          <t>«Poka-Yoke» (защита от ошибок)</t>
        </is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7" t="n">
        <v>29</v>
      </c>
      <c r="B227" s="11" t="inlineStr">
        <is>
          <t>5С на производстве и в офисе</t>
        </is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7" t="n">
        <v>30</v>
      </c>
      <c r="B228" s="11" t="inlineStr">
        <is>
          <t>ОЕЕ — анализ эффективности оборудования</t>
        </is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7" t="n">
        <v>31</v>
      </c>
      <c r="B229" s="11" t="inlineStr">
        <is>
          <t>Автономное обслуживание оборудования</t>
        </is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7" t="n">
        <v>32</v>
      </c>
      <c r="B230" s="11" t="inlineStr">
        <is>
          <t>Управление запасами</t>
        </is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7" t="n">
        <v>33</v>
      </c>
      <c r="B231" s="12" t="inlineStr">
        <is>
          <t>Сбор и проверка данных от предприятий-участников, выработка корректирующих мероприятий</t>
        </is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7" t="n">
        <v>34</v>
      </c>
      <c r="B232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7" t="n">
        <v>35</v>
      </c>
      <c r="B233" s="12" t="inlineStr">
        <is>
          <t>Поиск и распространение лучших практик по производительности труда</t>
        </is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7" t="n">
        <v>36</v>
      </c>
      <c r="B234" s="12" t="inlineStr">
        <is>
          <t>Организация работы с предложениями по улучшению (ППУ)</t>
        </is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7" t="n">
        <v>37</v>
      </c>
      <c r="B235" s="12" t="inlineStr">
        <is>
          <t>Ведение мониторинга проектов в подсистеме «Совместная работа» на ИТ-платформе</t>
        </is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7" ht="20" customHeight="1">
      <c r="A237" s="17" t="inlineStr">
        <is>
          <t>РП-7 — (впишите ФИО руководителя проекта 7)</t>
        </is>
      </c>
    </row>
    <row r="238">
      <c r="A238" s="7" t="n">
        <v>1</v>
      </c>
      <c r="B238" s="8" t="inlineStr">
        <is>
          <t>Проведение оценки на соответствие предприятия обязательным критериям</t>
        </is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7" t="n">
        <v>2</v>
      </c>
      <c r="B239" s="8" t="inlineStr">
        <is>
          <t>Проведение оценки готовности руководства предприятия к участию в проекте (интервью)</t>
        </is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7" t="n">
        <v>3</v>
      </c>
      <c r="B240" s="8" t="inlineStr">
        <is>
          <t>Проведение визуальной оценки производственного процесса на предприятии (визит на площадку)</t>
        </is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7" t="n">
        <v>4</v>
      </c>
      <c r="B241" s="8" t="inlineStr">
        <is>
          <t>Вовлечение руководства предприятий в федеральный проект</t>
        </is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7" t="n">
        <v>5</v>
      </c>
      <c r="B242" s="8" t="inlineStr">
        <is>
          <t>Подписание соглашения о сотрудничестве между РЦК и предприятием</t>
        </is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7" t="n">
        <v>6</v>
      </c>
      <c r="B243" s="10" t="inlineStr">
        <is>
          <t>Реализация организационных вех программы</t>
        </is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7" t="n">
        <v>7</v>
      </c>
      <c r="B244" s="10" t="inlineStr">
        <is>
          <t>Формирование проектного офиса</t>
        </is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7" t="n">
        <v>8</v>
      </c>
      <c r="B245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7" t="n">
        <v>9</v>
      </c>
      <c r="B246" s="10" t="inlineStr">
        <is>
          <t>Выявление степени готовности предприятия к изменениям</t>
        </is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7" t="n">
        <v>10</v>
      </c>
      <c r="B247" s="10" t="inlineStr">
        <is>
          <t>Составление плана ключевых событий</t>
        </is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7" t="n">
        <v>11</v>
      </c>
      <c r="B248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7" t="n">
        <v>12</v>
      </c>
      <c r="B249" s="10" t="inlineStr">
        <is>
          <t>Проведение анализа показателей проектов повышения производительности труда</t>
        </is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7" t="n">
        <v>13</v>
      </c>
      <c r="B250" s="10" t="inlineStr">
        <is>
          <t>Создание карточки проекта</t>
        </is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7" t="n">
        <v>14</v>
      </c>
      <c r="B251" s="10" t="inlineStr">
        <is>
          <t>Создание информационного центра проекта</t>
        </is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7" t="n">
        <v>15</v>
      </c>
      <c r="B252" s="10" t="inlineStr">
        <is>
          <t>Создание эталонного участка</t>
        </is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7" t="n">
        <v>16</v>
      </c>
      <c r="B253" s="10" t="inlineStr">
        <is>
          <t>Проведение оценки уровня развития производственной системы предприятия</t>
        </is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7" t="n">
        <v>17</v>
      </c>
      <c r="B254" s="10" t="inlineStr">
        <is>
          <t>Внедрение информационных центров</t>
        </is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7" t="n">
        <v>18</v>
      </c>
      <c r="B255" s="10" t="inlineStr">
        <is>
          <t>Подготовка к проведению тренингов</t>
        </is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7" t="n">
        <v>19</v>
      </c>
      <c r="B256" s="10" t="inlineStr">
        <is>
          <t>Проведение тренингов по Бережливому производству</t>
        </is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7" t="n">
        <v>20</v>
      </c>
      <c r="B257" s="10" t="inlineStr">
        <is>
          <t>Мониторинг проводимого обучения</t>
        </is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7" t="n">
        <v>21</v>
      </c>
      <c r="B258" s="11" t="inlineStr">
        <is>
          <t>Картирование потоков и «Диаграмма спагетти»</t>
        </is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7" t="n">
        <v>22</v>
      </c>
      <c r="B259" s="11" t="inlineStr">
        <is>
          <t>Производственный анализ</t>
        </is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7" t="n">
        <v>23</v>
      </c>
      <c r="B260" s="11" t="inlineStr">
        <is>
          <t>Поток единичных изделий</t>
        </is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7" t="n">
        <v>24</v>
      </c>
      <c r="B261" s="11" t="inlineStr">
        <is>
          <t>Система «Канбан»</t>
        </is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7" t="n">
        <v>25</v>
      </c>
      <c r="B262" s="11" t="inlineStr">
        <is>
          <t>Стандартизированная работа</t>
        </is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7" t="n">
        <v>26</v>
      </c>
      <c r="B263" s="11" t="inlineStr">
        <is>
          <t>Методы поиска первопричин и решения проблем</t>
        </is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7" t="n">
        <v>27</v>
      </c>
      <c r="B264" s="11" t="inlineStr">
        <is>
          <t>Быстрая переналадка (SMED)</t>
        </is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7" t="n">
        <v>28</v>
      </c>
      <c r="B265" s="11" t="inlineStr">
        <is>
          <t>«Poka-Yoke» (защита от ошибок)</t>
        </is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7" t="n">
        <v>29</v>
      </c>
      <c r="B266" s="11" t="inlineStr">
        <is>
          <t>5С на производстве и в офисе</t>
        </is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7" t="n">
        <v>30</v>
      </c>
      <c r="B267" s="11" t="inlineStr">
        <is>
          <t>ОЕЕ — анализ эффективности оборудования</t>
        </is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7" t="n">
        <v>31</v>
      </c>
      <c r="B268" s="11" t="inlineStr">
        <is>
          <t>Автономное обслуживание оборудования</t>
        </is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7" t="n">
        <v>32</v>
      </c>
      <c r="B269" s="11" t="inlineStr">
        <is>
          <t>Управление запасами</t>
        </is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7" t="n">
        <v>33</v>
      </c>
      <c r="B270" s="12" t="inlineStr">
        <is>
          <t>Сбор и проверка данных от предприятий-участников, выработка корректирующих мероприятий</t>
        </is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7" t="n">
        <v>34</v>
      </c>
      <c r="B271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7" t="n">
        <v>35</v>
      </c>
      <c r="B272" s="12" t="inlineStr">
        <is>
          <t>Поиск и распространение лучших практик по производительности труда</t>
        </is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7" t="n">
        <v>36</v>
      </c>
      <c r="B273" s="12" t="inlineStr">
        <is>
          <t>Организация работы с предложениями по улучшению (ППУ)</t>
        </is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7" t="n">
        <v>37</v>
      </c>
      <c r="B274" s="12" t="inlineStr">
        <is>
          <t>Ведение мониторинга проектов в подсистеме «Совместная работа» на ИТ-платформе</t>
        </is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</row>
  </sheetData>
  <mergeCells count="8">
    <mergeCell ref="A159:K159"/>
    <mergeCell ref="A198:K198"/>
    <mergeCell ref="A237:K237"/>
    <mergeCell ref="A3:K3"/>
    <mergeCell ref="A81:K81"/>
    <mergeCell ref="A42:K42"/>
    <mergeCell ref="A1:K1"/>
    <mergeCell ref="A120:K120"/>
  </mergeCells>
  <dataValidations count="1">
    <dataValidation sqref="C4:K4 C5:K5 C6:K6 C7:K7 C8:K8 C9:K9 C10:K10 C11:K11 C12:K12 C13:K13 C14:K14 C15:K15 C16:K16 C17:K17 C18:K18 C19:K19 C20:K20 C21:K21 C22:K22 C23:K23 C24:K24 C25:K25 C26:K26 C27:K27 C28:K28 C29:K29 C30:K30 C31:K31 C32:K32 C33:K33 C34:K34 C35:K35 C36:K36 C37:K37 C38:K38 C39:K39 C40:K40 C43:K43 C44:K44 C45:K45 C46:K46 C47:K47 C48:K48 C49:K49 C50:K50 C51:K51 C52:K52 C53:K53 C54:K54 C55:K55 C56:K56 C57:K57 C58:K58 C59:K59 C60:K60 C61:K61 C62:K62 C63:K63 C64:K64 C65:K65 C66:K66 C67:K67 C68:K68 C69:K69 C70:K70 C71:K71 C72:K72 C73:K73 C74:K74 C75:K75 C76:K76 C77:K77 C78:K78 C79:K79 C82:K82 C83:K83 C84:K84 C85:K85 C86:K86 C87:K87 C88:K88 C89:K89 C90:K90 C91:K91 C92:K92 C93:K93 C94:K94 C95:K95 C96:K96 C97:K97 C98:K98 C99:K99 C100:K100 C101:K101 C102:K102 C103:K103 C104:K104 C105:K105 C106:K106 C107:K107 C108:K108 C109:K109 C110:K110 C111:K111 C112:K112 C113:K113 C114:K114 C115:K115 C116:K116 C117:K117 C118:K118 C121:K121 C122:K122 C123:K123 C124:K124 C125:K125 C126:K126 C127:K127 C128:K128 C129:K129 C130:K130 C131:K131 C132:K132 C133:K133 C134:K134 C135:K135 C136:K136 C137:K137 C138:K138 C139:K139 C140:K140 C141:K141 C142:K142 C143:K143 C144:K144 C145:K145 C146:K146 C147:K147 C148:K148 C149:K149 C150:K150 C151:K151 C152:K152 C153:K153 C154:K154 C155:K155 C156:K156 C157:K157 C160:K160 C161:K161 C162:K162 C163:K163 C164:K164 C165:K165 C166:K166 C167:K167 C168:K168 C169:K169 C170:K170 C171:K171 C172:K172 C173:K173 C174:K174 C175:K175 C176:K176 C177:K177 C178:K178 C179:K179 C180:K180 C181:K181 C182:K182 C183:K183 C184:K184 C185:K185 C186:K186 C187:K187 C188:K188 C189:K189 C190:K190 C191:K191 C192:K192 C193:K193 C194:K194 C195:K195 C196:K196 C199:K199 C200:K200 C201:K201 C202:K202 C203:K203 C204:K204 C205:K205 C206:K206 C207:K207 C208:K208 C209:K209 C210:K210 C211:K211 C212:K212 C213:K213 C214:K214 C215:K215 C216:K216 C217:K217 C218:K218 C219:K219 C220:K220 C221:K221 C222:K222 C223:K223 C224:K224 C225:K225 C226:K226 C227:K227 C228:K228 C229:K229 C230:K230 C231:K231 C232:K232 C233:K233 C234:K234 C235:K235 C238:K238 C239:K239 C240:K240 C241:K241 C242:K242 C243:K243 C244:K244 C245:K245 C246:K246 C247:K247 C248:K248 C249:K249 C250:K250 C251:K251 C252:K252 C253:K253 C254:K254 C255:K255 C256:K256 C257:K257 C258:K258 C259:K259 C260:K260 C261:K261 C262:K262 C263:K263 C264:K264 C265:K265 C266:K266 C267:K267 C268:K268 C269:K269 C270:K270 C271:K271 C272:K272 C273:K273 C274:K274" showDropDown="0" showInputMessage="1" showErrorMessage="1" allowBlank="1" errorTitle="Неверная оценка" error="Введите целое число от 1 до 5" promptTitle="Шкала 1–5" prompt="Оценка 1–5 (см. шкалу на листе «Инструкция»)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6" customWidth="1" min="2" max="2"/>
    <col width="9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6" customWidth="1" min="9" max="9"/>
    <col width="24" customWidth="1" min="10" max="10"/>
  </cols>
  <sheetData>
    <row r="1">
      <c r="A1" s="4" t="inlineStr">
        <is>
          <t>СВОДНАЯ ТАБЛИЦА РЕЗУЛЬТАТОВ 360 (считается автоматически из листа «Оценки»)</t>
        </is>
      </c>
    </row>
    <row r="2" ht="28" customHeight="1">
      <c r="A2" s="5" t="inlineStr">
        <is>
          <t>«Другие» = среднее по группам руководитель/коллеги/подчинённые/клиент. «Разрыв» = самооценка минус «Другие» (красный ≥ 0,5 — слепая зона). «Сигналы»: «низкий уровень» — средний балл «Другие» ниже 3. Цвет строки — группа «Действий» (см. «Компетенции»).</t>
        </is>
      </c>
    </row>
    <row r="3" ht="30" customHeight="1">
      <c r="A3" s="6" t="inlineStr">
        <is>
          <t>Руководитель проекта</t>
        </is>
      </c>
      <c r="B3" s="6" t="inlineStr">
        <is>
          <t>Компетенция (приложение № 3 МР)</t>
        </is>
      </c>
      <c r="C3" s="6" t="inlineStr">
        <is>
          <t>Себя</t>
        </is>
      </c>
      <c r="D3" s="6" t="inlineStr">
        <is>
          <t>Руководитель</t>
        </is>
      </c>
      <c r="E3" s="6" t="inlineStr">
        <is>
          <t>Коллеги (ср.)</t>
        </is>
      </c>
      <c r="F3" s="6" t="inlineStr">
        <is>
          <t>Подчинённые (ср.)</t>
        </is>
      </c>
      <c r="G3" s="6" t="inlineStr">
        <is>
          <t>Клиент (ср.)</t>
        </is>
      </c>
      <c r="H3" s="6" t="inlineStr">
        <is>
          <t>Другие (ср.)</t>
        </is>
      </c>
      <c r="I3" s="6" t="inlineStr">
        <is>
          <t>Разрыв (себя − другие)</t>
        </is>
      </c>
      <c r="J3" s="6" t="inlineStr">
        <is>
          <t>Сигналы</t>
        </is>
      </c>
    </row>
    <row r="4">
      <c r="A4" s="18" t="inlineStr">
        <is>
          <t>Смирнов А. П. (ПРИМЕР)</t>
        </is>
      </c>
      <c r="B4" s="8" t="inlineStr">
        <is>
          <t>Проведение оценки на соответствие предприятия обязательным критериям</t>
        </is>
      </c>
      <c r="C4" s="19">
        <f>IF('Оценки'!K4="","",'Оценки'!K4)</f>
        <v/>
      </c>
      <c r="D4" s="19">
        <f>IF('Оценки'!C4="","",'Оценки'!C4)</f>
        <v/>
      </c>
      <c r="E4" s="19">
        <f>IF(COUNT('Оценки'!D4:F4)=0,"",AVERAGE('Оценки'!D4:F4))</f>
        <v/>
      </c>
      <c r="F4" s="19">
        <f>IF(COUNT('Оценки'!G4:I4)=0,"",AVERAGE('Оценки'!G4:I4))</f>
        <v/>
      </c>
      <c r="G4" s="19">
        <f>IF('Оценки'!J4="","",'Оценки'!J4)</f>
        <v/>
      </c>
      <c r="H4" s="19">
        <f>IF(COUNT(D4:G4)=0,"",AVERAGE(D4:G4))</f>
        <v/>
      </c>
      <c r="I4" s="19">
        <f>IF(OR(C4="",H4=""),"",C4-H4)</f>
        <v/>
      </c>
      <c r="J4" s="18">
        <f>IF(I4="","",IF(I4&gt;=0.5,"⚠ переоценивает себя",IF(H4&lt;3,"низкий уровень","")))</f>
        <v/>
      </c>
    </row>
    <row r="5">
      <c r="A5" s="18" t="inlineStr">
        <is>
          <t>Смирнов А. П. (ПРИМЕР)</t>
        </is>
      </c>
      <c r="B5" s="8" t="inlineStr">
        <is>
          <t>Проведение оценки готовности руководства предприятия к участию в проекте (интервью)</t>
        </is>
      </c>
      <c r="C5" s="19">
        <f>IF('Оценки'!K5="","",'Оценки'!K5)</f>
        <v/>
      </c>
      <c r="D5" s="19">
        <f>IF('Оценки'!C5="","",'Оценки'!C5)</f>
        <v/>
      </c>
      <c r="E5" s="19">
        <f>IF(COUNT('Оценки'!D5:F5)=0,"",AVERAGE('Оценки'!D5:F5))</f>
        <v/>
      </c>
      <c r="F5" s="19">
        <f>IF(COUNT('Оценки'!G5:I5)=0,"",AVERAGE('Оценки'!G5:I5))</f>
        <v/>
      </c>
      <c r="G5" s="19">
        <f>IF('Оценки'!J5="","",'Оценки'!J5)</f>
        <v/>
      </c>
      <c r="H5" s="19">
        <f>IF(COUNT(D5:G5)=0,"",AVERAGE(D5:G5))</f>
        <v/>
      </c>
      <c r="I5" s="19">
        <f>IF(OR(C5="",H5=""),"",C5-H5)</f>
        <v/>
      </c>
      <c r="J5" s="18">
        <f>IF(I5="","",IF(I5&gt;=0.5,"⚠ переоценивает себя",IF(H5&lt;3,"низкий уровень","")))</f>
        <v/>
      </c>
    </row>
    <row r="6">
      <c r="A6" s="18" t="inlineStr">
        <is>
          <t>Смирнов А. П. (ПРИМЕР)</t>
        </is>
      </c>
      <c r="B6" s="8" t="inlineStr">
        <is>
          <t>Проведение визуальной оценки производственного процесса на предприятии (визит на площадку)</t>
        </is>
      </c>
      <c r="C6" s="19">
        <f>IF('Оценки'!K6="","",'Оценки'!K6)</f>
        <v/>
      </c>
      <c r="D6" s="19">
        <f>IF('Оценки'!C6="","",'Оценки'!C6)</f>
        <v/>
      </c>
      <c r="E6" s="19">
        <f>IF(COUNT('Оценки'!D6:F6)=0,"",AVERAGE('Оценки'!D6:F6))</f>
        <v/>
      </c>
      <c r="F6" s="19">
        <f>IF(COUNT('Оценки'!G6:I6)=0,"",AVERAGE('Оценки'!G6:I6))</f>
        <v/>
      </c>
      <c r="G6" s="19">
        <f>IF('Оценки'!J6="","",'Оценки'!J6)</f>
        <v/>
      </c>
      <c r="H6" s="19">
        <f>IF(COUNT(D6:G6)=0,"",AVERAGE(D6:G6))</f>
        <v/>
      </c>
      <c r="I6" s="19">
        <f>IF(OR(C6="",H6=""),"",C6-H6)</f>
        <v/>
      </c>
      <c r="J6" s="18">
        <f>IF(I6="","",IF(I6&gt;=0.5,"⚠ переоценивает себя",IF(H6&lt;3,"низкий уровень","")))</f>
        <v/>
      </c>
    </row>
    <row r="7">
      <c r="A7" s="18" t="inlineStr">
        <is>
          <t>Смирнов А. П. (ПРИМЕР)</t>
        </is>
      </c>
      <c r="B7" s="8" t="inlineStr">
        <is>
          <t>Вовлечение руководства предприятий в федеральный проект</t>
        </is>
      </c>
      <c r="C7" s="19">
        <f>IF('Оценки'!K7="","",'Оценки'!K7)</f>
        <v/>
      </c>
      <c r="D7" s="19">
        <f>IF('Оценки'!C7="","",'Оценки'!C7)</f>
        <v/>
      </c>
      <c r="E7" s="19">
        <f>IF(COUNT('Оценки'!D7:F7)=0,"",AVERAGE('Оценки'!D7:F7))</f>
        <v/>
      </c>
      <c r="F7" s="19">
        <f>IF(COUNT('Оценки'!G7:I7)=0,"",AVERAGE('Оценки'!G7:I7))</f>
        <v/>
      </c>
      <c r="G7" s="19">
        <f>IF('Оценки'!J7="","",'Оценки'!J7)</f>
        <v/>
      </c>
      <c r="H7" s="19">
        <f>IF(COUNT(D7:G7)=0,"",AVERAGE(D7:G7))</f>
        <v/>
      </c>
      <c r="I7" s="19">
        <f>IF(OR(C7="",H7=""),"",C7-H7)</f>
        <v/>
      </c>
      <c r="J7" s="18">
        <f>IF(I7="","",IF(I7&gt;=0.5,"⚠ переоценивает себя",IF(H7&lt;3,"низкий уровень","")))</f>
        <v/>
      </c>
    </row>
    <row r="8">
      <c r="A8" s="18" t="inlineStr">
        <is>
          <t>Смирнов А. П. (ПРИМЕР)</t>
        </is>
      </c>
      <c r="B8" s="8" t="inlineStr">
        <is>
          <t>Подписание соглашения о сотрудничестве между РЦК и предприятием</t>
        </is>
      </c>
      <c r="C8" s="19">
        <f>IF('Оценки'!K8="","",'Оценки'!K8)</f>
        <v/>
      </c>
      <c r="D8" s="19">
        <f>IF('Оценки'!C8="","",'Оценки'!C8)</f>
        <v/>
      </c>
      <c r="E8" s="19">
        <f>IF(COUNT('Оценки'!D8:F8)=0,"",AVERAGE('Оценки'!D8:F8))</f>
        <v/>
      </c>
      <c r="F8" s="19">
        <f>IF(COUNT('Оценки'!G8:I8)=0,"",AVERAGE('Оценки'!G8:I8))</f>
        <v/>
      </c>
      <c r="G8" s="19">
        <f>IF('Оценки'!J8="","",'Оценки'!J8)</f>
        <v/>
      </c>
      <c r="H8" s="19">
        <f>IF(COUNT(D8:G8)=0,"",AVERAGE(D8:G8))</f>
        <v/>
      </c>
      <c r="I8" s="19">
        <f>IF(OR(C8="",H8=""),"",C8-H8)</f>
        <v/>
      </c>
      <c r="J8" s="18">
        <f>IF(I8="","",IF(I8&gt;=0.5,"⚠ переоценивает себя",IF(H8&lt;3,"низкий уровень","")))</f>
        <v/>
      </c>
    </row>
    <row r="9">
      <c r="A9" s="18" t="inlineStr">
        <is>
          <t>Смирнов А. П. (ПРИМЕР)</t>
        </is>
      </c>
      <c r="B9" s="10" t="inlineStr">
        <is>
          <t>Реализация организационных вех программы</t>
        </is>
      </c>
      <c r="C9" s="19">
        <f>IF('Оценки'!K9="","",'Оценки'!K9)</f>
        <v/>
      </c>
      <c r="D9" s="19">
        <f>IF('Оценки'!C9="","",'Оценки'!C9)</f>
        <v/>
      </c>
      <c r="E9" s="19">
        <f>IF(COUNT('Оценки'!D9:F9)=0,"",AVERAGE('Оценки'!D9:F9))</f>
        <v/>
      </c>
      <c r="F9" s="19">
        <f>IF(COUNT('Оценки'!G9:I9)=0,"",AVERAGE('Оценки'!G9:I9))</f>
        <v/>
      </c>
      <c r="G9" s="19">
        <f>IF('Оценки'!J9="","",'Оценки'!J9)</f>
        <v/>
      </c>
      <c r="H9" s="19">
        <f>IF(COUNT(D9:G9)=0,"",AVERAGE(D9:G9))</f>
        <v/>
      </c>
      <c r="I9" s="19">
        <f>IF(OR(C9="",H9=""),"",C9-H9)</f>
        <v/>
      </c>
      <c r="J9" s="18">
        <f>IF(I9="","",IF(I9&gt;=0.5,"⚠ переоценивает себя",IF(H9&lt;3,"низкий уровень","")))</f>
        <v/>
      </c>
    </row>
    <row r="10">
      <c r="A10" s="18" t="inlineStr">
        <is>
          <t>Смирнов А. П. (ПРИМЕР)</t>
        </is>
      </c>
      <c r="B10" s="10" t="inlineStr">
        <is>
          <t>Формирование проектного офиса</t>
        </is>
      </c>
      <c r="C10" s="19">
        <f>IF('Оценки'!K10="","",'Оценки'!K10)</f>
        <v/>
      </c>
      <c r="D10" s="19">
        <f>IF('Оценки'!C10="","",'Оценки'!C10)</f>
        <v/>
      </c>
      <c r="E10" s="19">
        <f>IF(COUNT('Оценки'!D10:F10)=0,"",AVERAGE('Оценки'!D10:F10))</f>
        <v/>
      </c>
      <c r="F10" s="19">
        <f>IF(COUNT('Оценки'!G10:I10)=0,"",AVERAGE('Оценки'!G10:I10))</f>
        <v/>
      </c>
      <c r="G10" s="19">
        <f>IF('Оценки'!J10="","",'Оценки'!J10)</f>
        <v/>
      </c>
      <c r="H10" s="19">
        <f>IF(COUNT(D10:G10)=0,"",AVERAGE(D10:G10))</f>
        <v/>
      </c>
      <c r="I10" s="19">
        <f>IF(OR(C10="",H10=""),"",C10-H10)</f>
        <v/>
      </c>
      <c r="J10" s="18">
        <f>IF(I10="","",IF(I10&gt;=0.5,"⚠ переоценивает себя",IF(H10&lt;3,"низкий уровень","")))</f>
        <v/>
      </c>
    </row>
    <row r="11">
      <c r="A11" s="18" t="inlineStr">
        <is>
          <t>Смирнов А. П. (ПРИМЕР)</t>
        </is>
      </c>
      <c r="B11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11" s="19">
        <f>IF('Оценки'!K11="","",'Оценки'!K11)</f>
        <v/>
      </c>
      <c r="D11" s="19">
        <f>IF('Оценки'!C11="","",'Оценки'!C11)</f>
        <v/>
      </c>
      <c r="E11" s="19">
        <f>IF(COUNT('Оценки'!D11:F11)=0,"",AVERAGE('Оценки'!D11:F11))</f>
        <v/>
      </c>
      <c r="F11" s="19">
        <f>IF(COUNT('Оценки'!G11:I11)=0,"",AVERAGE('Оценки'!G11:I11))</f>
        <v/>
      </c>
      <c r="G11" s="19">
        <f>IF('Оценки'!J11="","",'Оценки'!J11)</f>
        <v/>
      </c>
      <c r="H11" s="19">
        <f>IF(COUNT(D11:G11)=0,"",AVERAGE(D11:G11))</f>
        <v/>
      </c>
      <c r="I11" s="19">
        <f>IF(OR(C11="",H11=""),"",C11-H11)</f>
        <v/>
      </c>
      <c r="J11" s="18">
        <f>IF(I11="","",IF(I11&gt;=0.5,"⚠ переоценивает себя",IF(H11&lt;3,"низкий уровень","")))</f>
        <v/>
      </c>
    </row>
    <row r="12">
      <c r="A12" s="18" t="inlineStr">
        <is>
          <t>Смирнов А. П. (ПРИМЕР)</t>
        </is>
      </c>
      <c r="B12" s="10" t="inlineStr">
        <is>
          <t>Выявление степени готовности предприятия к изменениям</t>
        </is>
      </c>
      <c r="C12" s="19">
        <f>IF('Оценки'!K12="","",'Оценки'!K12)</f>
        <v/>
      </c>
      <c r="D12" s="19">
        <f>IF('Оценки'!C12="","",'Оценки'!C12)</f>
        <v/>
      </c>
      <c r="E12" s="19">
        <f>IF(COUNT('Оценки'!D12:F12)=0,"",AVERAGE('Оценки'!D12:F12))</f>
        <v/>
      </c>
      <c r="F12" s="19">
        <f>IF(COUNT('Оценки'!G12:I12)=0,"",AVERAGE('Оценки'!G12:I12))</f>
        <v/>
      </c>
      <c r="G12" s="19">
        <f>IF('Оценки'!J12="","",'Оценки'!J12)</f>
        <v/>
      </c>
      <c r="H12" s="19">
        <f>IF(COUNT(D12:G12)=0,"",AVERAGE(D12:G12))</f>
        <v/>
      </c>
      <c r="I12" s="19">
        <f>IF(OR(C12="",H12=""),"",C12-H12)</f>
        <v/>
      </c>
      <c r="J12" s="18">
        <f>IF(I12="","",IF(I12&gt;=0.5,"⚠ переоценивает себя",IF(H12&lt;3,"низкий уровень","")))</f>
        <v/>
      </c>
    </row>
    <row r="13">
      <c r="A13" s="18" t="inlineStr">
        <is>
          <t>Смирнов А. П. (ПРИМЕР)</t>
        </is>
      </c>
      <c r="B13" s="10" t="inlineStr">
        <is>
          <t>Составление плана ключевых событий</t>
        </is>
      </c>
      <c r="C13" s="19">
        <f>IF('Оценки'!K13="","",'Оценки'!K13)</f>
        <v/>
      </c>
      <c r="D13" s="19">
        <f>IF('Оценки'!C13="","",'Оценки'!C13)</f>
        <v/>
      </c>
      <c r="E13" s="19">
        <f>IF(COUNT('Оценки'!D13:F13)=0,"",AVERAGE('Оценки'!D13:F13))</f>
        <v/>
      </c>
      <c r="F13" s="19">
        <f>IF(COUNT('Оценки'!G13:I13)=0,"",AVERAGE('Оценки'!G13:I13))</f>
        <v/>
      </c>
      <c r="G13" s="19">
        <f>IF('Оценки'!J13="","",'Оценки'!J13)</f>
        <v/>
      </c>
      <c r="H13" s="19">
        <f>IF(COUNT(D13:G13)=0,"",AVERAGE(D13:G13))</f>
        <v/>
      </c>
      <c r="I13" s="19">
        <f>IF(OR(C13="",H13=""),"",C13-H13)</f>
        <v/>
      </c>
      <c r="J13" s="18">
        <f>IF(I13="","",IF(I13&gt;=0.5,"⚠ переоценивает себя",IF(H13&lt;3,"низкий уровень","")))</f>
        <v/>
      </c>
    </row>
    <row r="14">
      <c r="A14" s="18" t="inlineStr">
        <is>
          <t>Смирнов А. П. (ПРИМЕР)</t>
        </is>
      </c>
      <c r="B14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14" s="19">
        <f>IF('Оценки'!K14="","",'Оценки'!K14)</f>
        <v/>
      </c>
      <c r="D14" s="19">
        <f>IF('Оценки'!C14="","",'Оценки'!C14)</f>
        <v/>
      </c>
      <c r="E14" s="19">
        <f>IF(COUNT('Оценки'!D14:F14)=0,"",AVERAGE('Оценки'!D14:F14))</f>
        <v/>
      </c>
      <c r="F14" s="19">
        <f>IF(COUNT('Оценки'!G14:I14)=0,"",AVERAGE('Оценки'!G14:I14))</f>
        <v/>
      </c>
      <c r="G14" s="19">
        <f>IF('Оценки'!J14="","",'Оценки'!J14)</f>
        <v/>
      </c>
      <c r="H14" s="19">
        <f>IF(COUNT(D14:G14)=0,"",AVERAGE(D14:G14))</f>
        <v/>
      </c>
      <c r="I14" s="19">
        <f>IF(OR(C14="",H14=""),"",C14-H14)</f>
        <v/>
      </c>
      <c r="J14" s="18">
        <f>IF(I14="","",IF(I14&gt;=0.5,"⚠ переоценивает себя",IF(H14&lt;3,"низкий уровень","")))</f>
        <v/>
      </c>
    </row>
    <row r="15">
      <c r="A15" s="18" t="inlineStr">
        <is>
          <t>Смирнов А. П. (ПРИМЕР)</t>
        </is>
      </c>
      <c r="B15" s="10" t="inlineStr">
        <is>
          <t>Проведение анализа показателей проектов повышения производительности труда</t>
        </is>
      </c>
      <c r="C15" s="19">
        <f>IF('Оценки'!K15="","",'Оценки'!K15)</f>
        <v/>
      </c>
      <c r="D15" s="19">
        <f>IF('Оценки'!C15="","",'Оценки'!C15)</f>
        <v/>
      </c>
      <c r="E15" s="19">
        <f>IF(COUNT('Оценки'!D15:F15)=0,"",AVERAGE('Оценки'!D15:F15))</f>
        <v/>
      </c>
      <c r="F15" s="19">
        <f>IF(COUNT('Оценки'!G15:I15)=0,"",AVERAGE('Оценки'!G15:I15))</f>
        <v/>
      </c>
      <c r="G15" s="19">
        <f>IF('Оценки'!J15="","",'Оценки'!J15)</f>
        <v/>
      </c>
      <c r="H15" s="19">
        <f>IF(COUNT(D15:G15)=0,"",AVERAGE(D15:G15))</f>
        <v/>
      </c>
      <c r="I15" s="19">
        <f>IF(OR(C15="",H15=""),"",C15-H15)</f>
        <v/>
      </c>
      <c r="J15" s="18">
        <f>IF(I15="","",IF(I15&gt;=0.5,"⚠ переоценивает себя",IF(H15&lt;3,"низкий уровень","")))</f>
        <v/>
      </c>
    </row>
    <row r="16">
      <c r="A16" s="18" t="inlineStr">
        <is>
          <t>Смирнов А. П. (ПРИМЕР)</t>
        </is>
      </c>
      <c r="B16" s="10" t="inlineStr">
        <is>
          <t>Создание карточки проекта</t>
        </is>
      </c>
      <c r="C16" s="19">
        <f>IF('Оценки'!K16="","",'Оценки'!K16)</f>
        <v/>
      </c>
      <c r="D16" s="19">
        <f>IF('Оценки'!C16="","",'Оценки'!C16)</f>
        <v/>
      </c>
      <c r="E16" s="19">
        <f>IF(COUNT('Оценки'!D16:F16)=0,"",AVERAGE('Оценки'!D16:F16))</f>
        <v/>
      </c>
      <c r="F16" s="19">
        <f>IF(COUNT('Оценки'!G16:I16)=0,"",AVERAGE('Оценки'!G16:I16))</f>
        <v/>
      </c>
      <c r="G16" s="19">
        <f>IF('Оценки'!J16="","",'Оценки'!J16)</f>
        <v/>
      </c>
      <c r="H16" s="19">
        <f>IF(COUNT(D16:G16)=0,"",AVERAGE(D16:G16))</f>
        <v/>
      </c>
      <c r="I16" s="19">
        <f>IF(OR(C16="",H16=""),"",C16-H16)</f>
        <v/>
      </c>
      <c r="J16" s="18">
        <f>IF(I16="","",IF(I16&gt;=0.5,"⚠ переоценивает себя",IF(H16&lt;3,"низкий уровень","")))</f>
        <v/>
      </c>
    </row>
    <row r="17">
      <c r="A17" s="18" t="inlineStr">
        <is>
          <t>Смирнов А. П. (ПРИМЕР)</t>
        </is>
      </c>
      <c r="B17" s="10" t="inlineStr">
        <is>
          <t>Создание информационного центра проекта</t>
        </is>
      </c>
      <c r="C17" s="19">
        <f>IF('Оценки'!K17="","",'Оценки'!K17)</f>
        <v/>
      </c>
      <c r="D17" s="19">
        <f>IF('Оценки'!C17="","",'Оценки'!C17)</f>
        <v/>
      </c>
      <c r="E17" s="19">
        <f>IF(COUNT('Оценки'!D17:F17)=0,"",AVERAGE('Оценки'!D17:F17))</f>
        <v/>
      </c>
      <c r="F17" s="19">
        <f>IF(COUNT('Оценки'!G17:I17)=0,"",AVERAGE('Оценки'!G17:I17))</f>
        <v/>
      </c>
      <c r="G17" s="19">
        <f>IF('Оценки'!J17="","",'Оценки'!J17)</f>
        <v/>
      </c>
      <c r="H17" s="19">
        <f>IF(COUNT(D17:G17)=0,"",AVERAGE(D17:G17))</f>
        <v/>
      </c>
      <c r="I17" s="19">
        <f>IF(OR(C17="",H17=""),"",C17-H17)</f>
        <v/>
      </c>
      <c r="J17" s="18">
        <f>IF(I17="","",IF(I17&gt;=0.5,"⚠ переоценивает себя",IF(H17&lt;3,"низкий уровень","")))</f>
        <v/>
      </c>
    </row>
    <row r="18">
      <c r="A18" s="18" t="inlineStr">
        <is>
          <t>Смирнов А. П. (ПРИМЕР)</t>
        </is>
      </c>
      <c r="B18" s="10" t="inlineStr">
        <is>
          <t>Создание эталонного участка</t>
        </is>
      </c>
      <c r="C18" s="19">
        <f>IF('Оценки'!K18="","",'Оценки'!K18)</f>
        <v/>
      </c>
      <c r="D18" s="19">
        <f>IF('Оценки'!C18="","",'Оценки'!C18)</f>
        <v/>
      </c>
      <c r="E18" s="19">
        <f>IF(COUNT('Оценки'!D18:F18)=0,"",AVERAGE('Оценки'!D18:F18))</f>
        <v/>
      </c>
      <c r="F18" s="19">
        <f>IF(COUNT('Оценки'!G18:I18)=0,"",AVERAGE('Оценки'!G18:I18))</f>
        <v/>
      </c>
      <c r="G18" s="19">
        <f>IF('Оценки'!J18="","",'Оценки'!J18)</f>
        <v/>
      </c>
      <c r="H18" s="19">
        <f>IF(COUNT(D18:G18)=0,"",AVERAGE(D18:G18))</f>
        <v/>
      </c>
      <c r="I18" s="19">
        <f>IF(OR(C18="",H18=""),"",C18-H18)</f>
        <v/>
      </c>
      <c r="J18" s="18">
        <f>IF(I18="","",IF(I18&gt;=0.5,"⚠ переоценивает себя",IF(H18&lt;3,"низкий уровень","")))</f>
        <v/>
      </c>
    </row>
    <row r="19">
      <c r="A19" s="18" t="inlineStr">
        <is>
          <t>Смирнов А. П. (ПРИМЕР)</t>
        </is>
      </c>
      <c r="B19" s="10" t="inlineStr">
        <is>
          <t>Проведение оценки уровня развития производственной системы предприятия</t>
        </is>
      </c>
      <c r="C19" s="19">
        <f>IF('Оценки'!K19="","",'Оценки'!K19)</f>
        <v/>
      </c>
      <c r="D19" s="19">
        <f>IF('Оценки'!C19="","",'Оценки'!C19)</f>
        <v/>
      </c>
      <c r="E19" s="19">
        <f>IF(COUNT('Оценки'!D19:F19)=0,"",AVERAGE('Оценки'!D19:F19))</f>
        <v/>
      </c>
      <c r="F19" s="19">
        <f>IF(COUNT('Оценки'!G19:I19)=0,"",AVERAGE('Оценки'!G19:I19))</f>
        <v/>
      </c>
      <c r="G19" s="19">
        <f>IF('Оценки'!J19="","",'Оценки'!J19)</f>
        <v/>
      </c>
      <c r="H19" s="19">
        <f>IF(COUNT(D19:G19)=0,"",AVERAGE(D19:G19))</f>
        <v/>
      </c>
      <c r="I19" s="19">
        <f>IF(OR(C19="",H19=""),"",C19-H19)</f>
        <v/>
      </c>
      <c r="J19" s="18">
        <f>IF(I19="","",IF(I19&gt;=0.5,"⚠ переоценивает себя",IF(H19&lt;3,"низкий уровень","")))</f>
        <v/>
      </c>
    </row>
    <row r="20">
      <c r="A20" s="18" t="inlineStr">
        <is>
          <t>Смирнов А. П. (ПРИМЕР)</t>
        </is>
      </c>
      <c r="B20" s="10" t="inlineStr">
        <is>
          <t>Внедрение информационных центров</t>
        </is>
      </c>
      <c r="C20" s="19">
        <f>IF('Оценки'!K20="","",'Оценки'!K20)</f>
        <v/>
      </c>
      <c r="D20" s="19">
        <f>IF('Оценки'!C20="","",'Оценки'!C20)</f>
        <v/>
      </c>
      <c r="E20" s="19">
        <f>IF(COUNT('Оценки'!D20:F20)=0,"",AVERAGE('Оценки'!D20:F20))</f>
        <v/>
      </c>
      <c r="F20" s="19">
        <f>IF(COUNT('Оценки'!G20:I20)=0,"",AVERAGE('Оценки'!G20:I20))</f>
        <v/>
      </c>
      <c r="G20" s="19">
        <f>IF('Оценки'!J20="","",'Оценки'!J20)</f>
        <v/>
      </c>
      <c r="H20" s="19">
        <f>IF(COUNT(D20:G20)=0,"",AVERAGE(D20:G20))</f>
        <v/>
      </c>
      <c r="I20" s="19">
        <f>IF(OR(C20="",H20=""),"",C20-H20)</f>
        <v/>
      </c>
      <c r="J20" s="18">
        <f>IF(I20="","",IF(I20&gt;=0.5,"⚠ переоценивает себя",IF(H20&lt;3,"низкий уровень","")))</f>
        <v/>
      </c>
    </row>
    <row r="21">
      <c r="A21" s="18" t="inlineStr">
        <is>
          <t>Смирнов А. П. (ПРИМЕР)</t>
        </is>
      </c>
      <c r="B21" s="10" t="inlineStr">
        <is>
          <t>Подготовка к проведению тренингов</t>
        </is>
      </c>
      <c r="C21" s="19">
        <f>IF('Оценки'!K21="","",'Оценки'!K21)</f>
        <v/>
      </c>
      <c r="D21" s="19">
        <f>IF('Оценки'!C21="","",'Оценки'!C21)</f>
        <v/>
      </c>
      <c r="E21" s="19">
        <f>IF(COUNT('Оценки'!D21:F21)=0,"",AVERAGE('Оценки'!D21:F21))</f>
        <v/>
      </c>
      <c r="F21" s="19">
        <f>IF(COUNT('Оценки'!G21:I21)=0,"",AVERAGE('Оценки'!G21:I21))</f>
        <v/>
      </c>
      <c r="G21" s="19">
        <f>IF('Оценки'!J21="","",'Оценки'!J21)</f>
        <v/>
      </c>
      <c r="H21" s="19">
        <f>IF(COUNT(D21:G21)=0,"",AVERAGE(D21:G21))</f>
        <v/>
      </c>
      <c r="I21" s="19">
        <f>IF(OR(C21="",H21=""),"",C21-H21)</f>
        <v/>
      </c>
      <c r="J21" s="18">
        <f>IF(I21="","",IF(I21&gt;=0.5,"⚠ переоценивает себя",IF(H21&lt;3,"низкий уровень","")))</f>
        <v/>
      </c>
    </row>
    <row r="22">
      <c r="A22" s="18" t="inlineStr">
        <is>
          <t>Смирнов А. П. (ПРИМЕР)</t>
        </is>
      </c>
      <c r="B22" s="10" t="inlineStr">
        <is>
          <t>Проведение тренингов по Бережливому производству</t>
        </is>
      </c>
      <c r="C22" s="19">
        <f>IF('Оценки'!K22="","",'Оценки'!K22)</f>
        <v/>
      </c>
      <c r="D22" s="19">
        <f>IF('Оценки'!C22="","",'Оценки'!C22)</f>
        <v/>
      </c>
      <c r="E22" s="19">
        <f>IF(COUNT('Оценки'!D22:F22)=0,"",AVERAGE('Оценки'!D22:F22))</f>
        <v/>
      </c>
      <c r="F22" s="19">
        <f>IF(COUNT('Оценки'!G22:I22)=0,"",AVERAGE('Оценки'!G22:I22))</f>
        <v/>
      </c>
      <c r="G22" s="19">
        <f>IF('Оценки'!J22="","",'Оценки'!J22)</f>
        <v/>
      </c>
      <c r="H22" s="19">
        <f>IF(COUNT(D22:G22)=0,"",AVERAGE(D22:G22))</f>
        <v/>
      </c>
      <c r="I22" s="19">
        <f>IF(OR(C22="",H22=""),"",C22-H22)</f>
        <v/>
      </c>
      <c r="J22" s="18">
        <f>IF(I22="","",IF(I22&gt;=0.5,"⚠ переоценивает себя",IF(H22&lt;3,"низкий уровень","")))</f>
        <v/>
      </c>
    </row>
    <row r="23">
      <c r="A23" s="18" t="inlineStr">
        <is>
          <t>Смирнов А. П. (ПРИМЕР)</t>
        </is>
      </c>
      <c r="B23" s="10" t="inlineStr">
        <is>
          <t>Мониторинг проводимого обучения</t>
        </is>
      </c>
      <c r="C23" s="19">
        <f>IF('Оценки'!K23="","",'Оценки'!K23)</f>
        <v/>
      </c>
      <c r="D23" s="19">
        <f>IF('Оценки'!C23="","",'Оценки'!C23)</f>
        <v/>
      </c>
      <c r="E23" s="19">
        <f>IF(COUNT('Оценки'!D23:F23)=0,"",AVERAGE('Оценки'!D23:F23))</f>
        <v/>
      </c>
      <c r="F23" s="19">
        <f>IF(COUNT('Оценки'!G23:I23)=0,"",AVERAGE('Оценки'!G23:I23))</f>
        <v/>
      </c>
      <c r="G23" s="19">
        <f>IF('Оценки'!J23="","",'Оценки'!J23)</f>
        <v/>
      </c>
      <c r="H23" s="19">
        <f>IF(COUNT(D23:G23)=0,"",AVERAGE(D23:G23))</f>
        <v/>
      </c>
      <c r="I23" s="19">
        <f>IF(OR(C23="",H23=""),"",C23-H23)</f>
        <v/>
      </c>
      <c r="J23" s="18">
        <f>IF(I23="","",IF(I23&gt;=0.5,"⚠ переоценивает себя",IF(H23&lt;3,"низкий уровень","")))</f>
        <v/>
      </c>
    </row>
    <row r="24">
      <c r="A24" s="18" t="inlineStr">
        <is>
          <t>Смирнов А. П. (ПРИМЕР)</t>
        </is>
      </c>
      <c r="B24" s="11" t="inlineStr">
        <is>
          <t>Картирование потоков и «Диаграмма спагетти»</t>
        </is>
      </c>
      <c r="C24" s="19">
        <f>IF('Оценки'!K24="","",'Оценки'!K24)</f>
        <v/>
      </c>
      <c r="D24" s="19">
        <f>IF('Оценки'!C24="","",'Оценки'!C24)</f>
        <v/>
      </c>
      <c r="E24" s="19">
        <f>IF(COUNT('Оценки'!D24:F24)=0,"",AVERAGE('Оценки'!D24:F24))</f>
        <v/>
      </c>
      <c r="F24" s="19">
        <f>IF(COUNT('Оценки'!G24:I24)=0,"",AVERAGE('Оценки'!G24:I24))</f>
        <v/>
      </c>
      <c r="G24" s="19">
        <f>IF('Оценки'!J24="","",'Оценки'!J24)</f>
        <v/>
      </c>
      <c r="H24" s="19">
        <f>IF(COUNT(D24:G24)=0,"",AVERAGE(D24:G24))</f>
        <v/>
      </c>
      <c r="I24" s="19">
        <f>IF(OR(C24="",H24=""),"",C24-H24)</f>
        <v/>
      </c>
      <c r="J24" s="18">
        <f>IF(I24="","",IF(I24&gt;=0.5,"⚠ переоценивает себя",IF(H24&lt;3,"низкий уровень","")))</f>
        <v/>
      </c>
    </row>
    <row r="25">
      <c r="A25" s="18" t="inlineStr">
        <is>
          <t>Смирнов А. П. (ПРИМЕР)</t>
        </is>
      </c>
      <c r="B25" s="11" t="inlineStr">
        <is>
          <t>Производственный анализ</t>
        </is>
      </c>
      <c r="C25" s="19">
        <f>IF('Оценки'!K25="","",'Оценки'!K25)</f>
        <v/>
      </c>
      <c r="D25" s="19">
        <f>IF('Оценки'!C25="","",'Оценки'!C25)</f>
        <v/>
      </c>
      <c r="E25" s="19">
        <f>IF(COUNT('Оценки'!D25:F25)=0,"",AVERAGE('Оценки'!D25:F25))</f>
        <v/>
      </c>
      <c r="F25" s="19">
        <f>IF(COUNT('Оценки'!G25:I25)=0,"",AVERAGE('Оценки'!G25:I25))</f>
        <v/>
      </c>
      <c r="G25" s="19">
        <f>IF('Оценки'!J25="","",'Оценки'!J25)</f>
        <v/>
      </c>
      <c r="H25" s="19">
        <f>IF(COUNT(D25:G25)=0,"",AVERAGE(D25:G25))</f>
        <v/>
      </c>
      <c r="I25" s="19">
        <f>IF(OR(C25="",H25=""),"",C25-H25)</f>
        <v/>
      </c>
      <c r="J25" s="18">
        <f>IF(I25="","",IF(I25&gt;=0.5,"⚠ переоценивает себя",IF(H25&lt;3,"низкий уровень","")))</f>
        <v/>
      </c>
    </row>
    <row r="26">
      <c r="A26" s="18" t="inlineStr">
        <is>
          <t>Смирнов А. П. (ПРИМЕР)</t>
        </is>
      </c>
      <c r="B26" s="11" t="inlineStr">
        <is>
          <t>Поток единичных изделий</t>
        </is>
      </c>
      <c r="C26" s="19">
        <f>IF('Оценки'!K26="","",'Оценки'!K26)</f>
        <v/>
      </c>
      <c r="D26" s="19">
        <f>IF('Оценки'!C26="","",'Оценки'!C26)</f>
        <v/>
      </c>
      <c r="E26" s="19">
        <f>IF(COUNT('Оценки'!D26:F26)=0,"",AVERAGE('Оценки'!D26:F26))</f>
        <v/>
      </c>
      <c r="F26" s="19">
        <f>IF(COUNT('Оценки'!G26:I26)=0,"",AVERAGE('Оценки'!G26:I26))</f>
        <v/>
      </c>
      <c r="G26" s="19">
        <f>IF('Оценки'!J26="","",'Оценки'!J26)</f>
        <v/>
      </c>
      <c r="H26" s="19">
        <f>IF(COUNT(D26:G26)=0,"",AVERAGE(D26:G26))</f>
        <v/>
      </c>
      <c r="I26" s="19">
        <f>IF(OR(C26="",H26=""),"",C26-H26)</f>
        <v/>
      </c>
      <c r="J26" s="18">
        <f>IF(I26="","",IF(I26&gt;=0.5,"⚠ переоценивает себя",IF(H26&lt;3,"низкий уровень","")))</f>
        <v/>
      </c>
    </row>
    <row r="27">
      <c r="A27" s="18" t="inlineStr">
        <is>
          <t>Смирнов А. П. (ПРИМЕР)</t>
        </is>
      </c>
      <c r="B27" s="11" t="inlineStr">
        <is>
          <t>Система «Канбан»</t>
        </is>
      </c>
      <c r="C27" s="19">
        <f>IF('Оценки'!K27="","",'Оценки'!K27)</f>
        <v/>
      </c>
      <c r="D27" s="19">
        <f>IF('Оценки'!C27="","",'Оценки'!C27)</f>
        <v/>
      </c>
      <c r="E27" s="19">
        <f>IF(COUNT('Оценки'!D27:F27)=0,"",AVERAGE('Оценки'!D27:F27))</f>
        <v/>
      </c>
      <c r="F27" s="19">
        <f>IF(COUNT('Оценки'!G27:I27)=0,"",AVERAGE('Оценки'!G27:I27))</f>
        <v/>
      </c>
      <c r="G27" s="19">
        <f>IF('Оценки'!J27="","",'Оценки'!J27)</f>
        <v/>
      </c>
      <c r="H27" s="19">
        <f>IF(COUNT(D27:G27)=0,"",AVERAGE(D27:G27))</f>
        <v/>
      </c>
      <c r="I27" s="19">
        <f>IF(OR(C27="",H27=""),"",C27-H27)</f>
        <v/>
      </c>
      <c r="J27" s="18">
        <f>IF(I27="","",IF(I27&gt;=0.5,"⚠ переоценивает себя",IF(H27&lt;3,"низкий уровень","")))</f>
        <v/>
      </c>
    </row>
    <row r="28">
      <c r="A28" s="18" t="inlineStr">
        <is>
          <t>Смирнов А. П. (ПРИМЕР)</t>
        </is>
      </c>
      <c r="B28" s="11" t="inlineStr">
        <is>
          <t>Стандартизированная работа</t>
        </is>
      </c>
      <c r="C28" s="19">
        <f>IF('Оценки'!K28="","",'Оценки'!K28)</f>
        <v/>
      </c>
      <c r="D28" s="19">
        <f>IF('Оценки'!C28="","",'Оценки'!C28)</f>
        <v/>
      </c>
      <c r="E28" s="19">
        <f>IF(COUNT('Оценки'!D28:F28)=0,"",AVERAGE('Оценки'!D28:F28))</f>
        <v/>
      </c>
      <c r="F28" s="19">
        <f>IF(COUNT('Оценки'!G28:I28)=0,"",AVERAGE('Оценки'!G28:I28))</f>
        <v/>
      </c>
      <c r="G28" s="19">
        <f>IF('Оценки'!J28="","",'Оценки'!J28)</f>
        <v/>
      </c>
      <c r="H28" s="19">
        <f>IF(COUNT(D28:G28)=0,"",AVERAGE(D28:G28))</f>
        <v/>
      </c>
      <c r="I28" s="19">
        <f>IF(OR(C28="",H28=""),"",C28-H28)</f>
        <v/>
      </c>
      <c r="J28" s="18">
        <f>IF(I28="","",IF(I28&gt;=0.5,"⚠ переоценивает себя",IF(H28&lt;3,"низкий уровень","")))</f>
        <v/>
      </c>
    </row>
    <row r="29">
      <c r="A29" s="18" t="inlineStr">
        <is>
          <t>Смирнов А. П. (ПРИМЕР)</t>
        </is>
      </c>
      <c r="B29" s="11" t="inlineStr">
        <is>
          <t>Методы поиска первопричин и решения проблем</t>
        </is>
      </c>
      <c r="C29" s="19">
        <f>IF('Оценки'!K29="","",'Оценки'!K29)</f>
        <v/>
      </c>
      <c r="D29" s="19">
        <f>IF('Оценки'!C29="","",'Оценки'!C29)</f>
        <v/>
      </c>
      <c r="E29" s="19">
        <f>IF(COUNT('Оценки'!D29:F29)=0,"",AVERAGE('Оценки'!D29:F29))</f>
        <v/>
      </c>
      <c r="F29" s="19">
        <f>IF(COUNT('Оценки'!G29:I29)=0,"",AVERAGE('Оценки'!G29:I29))</f>
        <v/>
      </c>
      <c r="G29" s="19">
        <f>IF('Оценки'!J29="","",'Оценки'!J29)</f>
        <v/>
      </c>
      <c r="H29" s="19">
        <f>IF(COUNT(D29:G29)=0,"",AVERAGE(D29:G29))</f>
        <v/>
      </c>
      <c r="I29" s="19">
        <f>IF(OR(C29="",H29=""),"",C29-H29)</f>
        <v/>
      </c>
      <c r="J29" s="18">
        <f>IF(I29="","",IF(I29&gt;=0.5,"⚠ переоценивает себя",IF(H29&lt;3,"низкий уровень","")))</f>
        <v/>
      </c>
    </row>
    <row r="30">
      <c r="A30" s="18" t="inlineStr">
        <is>
          <t>Смирнов А. П. (ПРИМЕР)</t>
        </is>
      </c>
      <c r="B30" s="11" t="inlineStr">
        <is>
          <t>Быстрая переналадка (SMED)</t>
        </is>
      </c>
      <c r="C30" s="19">
        <f>IF('Оценки'!K30="","",'Оценки'!K30)</f>
        <v/>
      </c>
      <c r="D30" s="19">
        <f>IF('Оценки'!C30="","",'Оценки'!C30)</f>
        <v/>
      </c>
      <c r="E30" s="19">
        <f>IF(COUNT('Оценки'!D30:F30)=0,"",AVERAGE('Оценки'!D30:F30))</f>
        <v/>
      </c>
      <c r="F30" s="19">
        <f>IF(COUNT('Оценки'!G30:I30)=0,"",AVERAGE('Оценки'!G30:I30))</f>
        <v/>
      </c>
      <c r="G30" s="19">
        <f>IF('Оценки'!J30="","",'Оценки'!J30)</f>
        <v/>
      </c>
      <c r="H30" s="19">
        <f>IF(COUNT(D30:G30)=0,"",AVERAGE(D30:G30))</f>
        <v/>
      </c>
      <c r="I30" s="19">
        <f>IF(OR(C30="",H30=""),"",C30-H30)</f>
        <v/>
      </c>
      <c r="J30" s="18">
        <f>IF(I30="","",IF(I30&gt;=0.5,"⚠ переоценивает себя",IF(H30&lt;3,"низкий уровень","")))</f>
        <v/>
      </c>
    </row>
    <row r="31">
      <c r="A31" s="18" t="inlineStr">
        <is>
          <t>Смирнов А. П. (ПРИМЕР)</t>
        </is>
      </c>
      <c r="B31" s="11" t="inlineStr">
        <is>
          <t>«Poka-Yoke» (защита от ошибок)</t>
        </is>
      </c>
      <c r="C31" s="19">
        <f>IF('Оценки'!K31="","",'Оценки'!K31)</f>
        <v/>
      </c>
      <c r="D31" s="19">
        <f>IF('Оценки'!C31="","",'Оценки'!C31)</f>
        <v/>
      </c>
      <c r="E31" s="19">
        <f>IF(COUNT('Оценки'!D31:F31)=0,"",AVERAGE('Оценки'!D31:F31))</f>
        <v/>
      </c>
      <c r="F31" s="19">
        <f>IF(COUNT('Оценки'!G31:I31)=0,"",AVERAGE('Оценки'!G31:I31))</f>
        <v/>
      </c>
      <c r="G31" s="19">
        <f>IF('Оценки'!J31="","",'Оценки'!J31)</f>
        <v/>
      </c>
      <c r="H31" s="19">
        <f>IF(COUNT(D31:G31)=0,"",AVERAGE(D31:G31))</f>
        <v/>
      </c>
      <c r="I31" s="19">
        <f>IF(OR(C31="",H31=""),"",C31-H31)</f>
        <v/>
      </c>
      <c r="J31" s="18">
        <f>IF(I31="","",IF(I31&gt;=0.5,"⚠ переоценивает себя",IF(H31&lt;3,"низкий уровень","")))</f>
        <v/>
      </c>
    </row>
    <row r="32">
      <c r="A32" s="18" t="inlineStr">
        <is>
          <t>Смирнов А. П. (ПРИМЕР)</t>
        </is>
      </c>
      <c r="B32" s="11" t="inlineStr">
        <is>
          <t>5С на производстве и в офисе</t>
        </is>
      </c>
      <c r="C32" s="19">
        <f>IF('Оценки'!K32="","",'Оценки'!K32)</f>
        <v/>
      </c>
      <c r="D32" s="19">
        <f>IF('Оценки'!C32="","",'Оценки'!C32)</f>
        <v/>
      </c>
      <c r="E32" s="19">
        <f>IF(COUNT('Оценки'!D32:F32)=0,"",AVERAGE('Оценки'!D32:F32))</f>
        <v/>
      </c>
      <c r="F32" s="19">
        <f>IF(COUNT('Оценки'!G32:I32)=0,"",AVERAGE('Оценки'!G32:I32))</f>
        <v/>
      </c>
      <c r="G32" s="19">
        <f>IF('Оценки'!J32="","",'Оценки'!J32)</f>
        <v/>
      </c>
      <c r="H32" s="19">
        <f>IF(COUNT(D32:G32)=0,"",AVERAGE(D32:G32))</f>
        <v/>
      </c>
      <c r="I32" s="19">
        <f>IF(OR(C32="",H32=""),"",C32-H32)</f>
        <v/>
      </c>
      <c r="J32" s="18">
        <f>IF(I32="","",IF(I32&gt;=0.5,"⚠ переоценивает себя",IF(H32&lt;3,"низкий уровень","")))</f>
        <v/>
      </c>
    </row>
    <row r="33">
      <c r="A33" s="18" t="inlineStr">
        <is>
          <t>Смирнов А. П. (ПРИМЕР)</t>
        </is>
      </c>
      <c r="B33" s="11" t="inlineStr">
        <is>
          <t>ОЕЕ — анализ эффективности оборудования</t>
        </is>
      </c>
      <c r="C33" s="19">
        <f>IF('Оценки'!K33="","",'Оценки'!K33)</f>
        <v/>
      </c>
      <c r="D33" s="19">
        <f>IF('Оценки'!C33="","",'Оценки'!C33)</f>
        <v/>
      </c>
      <c r="E33" s="19">
        <f>IF(COUNT('Оценки'!D33:F33)=0,"",AVERAGE('Оценки'!D33:F33))</f>
        <v/>
      </c>
      <c r="F33" s="19">
        <f>IF(COUNT('Оценки'!G33:I33)=0,"",AVERAGE('Оценки'!G33:I33))</f>
        <v/>
      </c>
      <c r="G33" s="19">
        <f>IF('Оценки'!J33="","",'Оценки'!J33)</f>
        <v/>
      </c>
      <c r="H33" s="19">
        <f>IF(COUNT(D33:G33)=0,"",AVERAGE(D33:G33))</f>
        <v/>
      </c>
      <c r="I33" s="19">
        <f>IF(OR(C33="",H33=""),"",C33-H33)</f>
        <v/>
      </c>
      <c r="J33" s="18">
        <f>IF(I33="","",IF(I33&gt;=0.5,"⚠ переоценивает себя",IF(H33&lt;3,"низкий уровень","")))</f>
        <v/>
      </c>
    </row>
    <row r="34">
      <c r="A34" s="18" t="inlineStr">
        <is>
          <t>Смирнов А. П. (ПРИМЕР)</t>
        </is>
      </c>
      <c r="B34" s="11" t="inlineStr">
        <is>
          <t>Автономное обслуживание оборудования</t>
        </is>
      </c>
      <c r="C34" s="19">
        <f>IF('Оценки'!K34="","",'Оценки'!K34)</f>
        <v/>
      </c>
      <c r="D34" s="19">
        <f>IF('Оценки'!C34="","",'Оценки'!C34)</f>
        <v/>
      </c>
      <c r="E34" s="19">
        <f>IF(COUNT('Оценки'!D34:F34)=0,"",AVERAGE('Оценки'!D34:F34))</f>
        <v/>
      </c>
      <c r="F34" s="19">
        <f>IF(COUNT('Оценки'!G34:I34)=0,"",AVERAGE('Оценки'!G34:I34))</f>
        <v/>
      </c>
      <c r="G34" s="19">
        <f>IF('Оценки'!J34="","",'Оценки'!J34)</f>
        <v/>
      </c>
      <c r="H34" s="19">
        <f>IF(COUNT(D34:G34)=0,"",AVERAGE(D34:G34))</f>
        <v/>
      </c>
      <c r="I34" s="19">
        <f>IF(OR(C34="",H34=""),"",C34-H34)</f>
        <v/>
      </c>
      <c r="J34" s="18">
        <f>IF(I34="","",IF(I34&gt;=0.5,"⚠ переоценивает себя",IF(H34&lt;3,"низкий уровень","")))</f>
        <v/>
      </c>
    </row>
    <row r="35">
      <c r="A35" s="18" t="inlineStr">
        <is>
          <t>Смирнов А. П. (ПРИМЕР)</t>
        </is>
      </c>
      <c r="B35" s="11" t="inlineStr">
        <is>
          <t>Управление запасами</t>
        </is>
      </c>
      <c r="C35" s="19">
        <f>IF('Оценки'!K35="","",'Оценки'!K35)</f>
        <v/>
      </c>
      <c r="D35" s="19">
        <f>IF('Оценки'!C35="","",'Оценки'!C35)</f>
        <v/>
      </c>
      <c r="E35" s="19">
        <f>IF(COUNT('Оценки'!D35:F35)=0,"",AVERAGE('Оценки'!D35:F35))</f>
        <v/>
      </c>
      <c r="F35" s="19">
        <f>IF(COUNT('Оценки'!G35:I35)=0,"",AVERAGE('Оценки'!G35:I35))</f>
        <v/>
      </c>
      <c r="G35" s="19">
        <f>IF('Оценки'!J35="","",'Оценки'!J35)</f>
        <v/>
      </c>
      <c r="H35" s="19">
        <f>IF(COUNT(D35:G35)=0,"",AVERAGE(D35:G35))</f>
        <v/>
      </c>
      <c r="I35" s="19">
        <f>IF(OR(C35="",H35=""),"",C35-H35)</f>
        <v/>
      </c>
      <c r="J35" s="18">
        <f>IF(I35="","",IF(I35&gt;=0.5,"⚠ переоценивает себя",IF(H35&lt;3,"низкий уровень","")))</f>
        <v/>
      </c>
    </row>
    <row r="36">
      <c r="A36" s="18" t="inlineStr">
        <is>
          <t>Смирнов А. П. (ПРИМЕР)</t>
        </is>
      </c>
      <c r="B36" s="12" t="inlineStr">
        <is>
          <t>Сбор и проверка данных от предприятий-участников, выработка корректирующих мероприятий</t>
        </is>
      </c>
      <c r="C36" s="19">
        <f>IF('Оценки'!K36="","",'Оценки'!K36)</f>
        <v/>
      </c>
      <c r="D36" s="19">
        <f>IF('Оценки'!C36="","",'Оценки'!C36)</f>
        <v/>
      </c>
      <c r="E36" s="19">
        <f>IF(COUNT('Оценки'!D36:F36)=0,"",AVERAGE('Оценки'!D36:F36))</f>
        <v/>
      </c>
      <c r="F36" s="19">
        <f>IF(COUNT('Оценки'!G36:I36)=0,"",AVERAGE('Оценки'!G36:I36))</f>
        <v/>
      </c>
      <c r="G36" s="19">
        <f>IF('Оценки'!J36="","",'Оценки'!J36)</f>
        <v/>
      </c>
      <c r="H36" s="19">
        <f>IF(COUNT(D36:G36)=0,"",AVERAGE(D36:G36))</f>
        <v/>
      </c>
      <c r="I36" s="19">
        <f>IF(OR(C36="",H36=""),"",C36-H36)</f>
        <v/>
      </c>
      <c r="J36" s="18">
        <f>IF(I36="","",IF(I36&gt;=0.5,"⚠ переоценивает себя",IF(H36&lt;3,"низкий уровень","")))</f>
        <v/>
      </c>
    </row>
    <row r="37">
      <c r="A37" s="18" t="inlineStr">
        <is>
          <t>Смирнов А. П. (ПРИМЕР)</t>
        </is>
      </c>
      <c r="B37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37" s="19">
        <f>IF('Оценки'!K37="","",'Оценки'!K37)</f>
        <v/>
      </c>
      <c r="D37" s="19">
        <f>IF('Оценки'!C37="","",'Оценки'!C37)</f>
        <v/>
      </c>
      <c r="E37" s="19">
        <f>IF(COUNT('Оценки'!D37:F37)=0,"",AVERAGE('Оценки'!D37:F37))</f>
        <v/>
      </c>
      <c r="F37" s="19">
        <f>IF(COUNT('Оценки'!G37:I37)=0,"",AVERAGE('Оценки'!G37:I37))</f>
        <v/>
      </c>
      <c r="G37" s="19">
        <f>IF('Оценки'!J37="","",'Оценки'!J37)</f>
        <v/>
      </c>
      <c r="H37" s="19">
        <f>IF(COUNT(D37:G37)=0,"",AVERAGE(D37:G37))</f>
        <v/>
      </c>
      <c r="I37" s="19">
        <f>IF(OR(C37="",H37=""),"",C37-H37)</f>
        <v/>
      </c>
      <c r="J37" s="18">
        <f>IF(I37="","",IF(I37&gt;=0.5,"⚠ переоценивает себя",IF(H37&lt;3,"низкий уровень","")))</f>
        <v/>
      </c>
    </row>
    <row r="38">
      <c r="A38" s="18" t="inlineStr">
        <is>
          <t>Смирнов А. П. (ПРИМЕР)</t>
        </is>
      </c>
      <c r="B38" s="12" t="inlineStr">
        <is>
          <t>Поиск и распространение лучших практик по производительности труда</t>
        </is>
      </c>
      <c r="C38" s="19">
        <f>IF('Оценки'!K38="","",'Оценки'!K38)</f>
        <v/>
      </c>
      <c r="D38" s="19">
        <f>IF('Оценки'!C38="","",'Оценки'!C38)</f>
        <v/>
      </c>
      <c r="E38" s="19">
        <f>IF(COUNT('Оценки'!D38:F38)=0,"",AVERAGE('Оценки'!D38:F38))</f>
        <v/>
      </c>
      <c r="F38" s="19">
        <f>IF(COUNT('Оценки'!G38:I38)=0,"",AVERAGE('Оценки'!G38:I38))</f>
        <v/>
      </c>
      <c r="G38" s="19">
        <f>IF('Оценки'!J38="","",'Оценки'!J38)</f>
        <v/>
      </c>
      <c r="H38" s="19">
        <f>IF(COUNT(D38:G38)=0,"",AVERAGE(D38:G38))</f>
        <v/>
      </c>
      <c r="I38" s="19">
        <f>IF(OR(C38="",H38=""),"",C38-H38)</f>
        <v/>
      </c>
      <c r="J38" s="18">
        <f>IF(I38="","",IF(I38&gt;=0.5,"⚠ переоценивает себя",IF(H38&lt;3,"низкий уровень","")))</f>
        <v/>
      </c>
    </row>
    <row r="39">
      <c r="A39" s="18" t="inlineStr">
        <is>
          <t>Смирнов А. П. (ПРИМЕР)</t>
        </is>
      </c>
      <c r="B39" s="12" t="inlineStr">
        <is>
          <t>Организация работы с предложениями по улучшению (ППУ)</t>
        </is>
      </c>
      <c r="C39" s="19">
        <f>IF('Оценки'!K39="","",'Оценки'!K39)</f>
        <v/>
      </c>
      <c r="D39" s="19">
        <f>IF('Оценки'!C39="","",'Оценки'!C39)</f>
        <v/>
      </c>
      <c r="E39" s="19">
        <f>IF(COUNT('Оценки'!D39:F39)=0,"",AVERAGE('Оценки'!D39:F39))</f>
        <v/>
      </c>
      <c r="F39" s="19">
        <f>IF(COUNT('Оценки'!G39:I39)=0,"",AVERAGE('Оценки'!G39:I39))</f>
        <v/>
      </c>
      <c r="G39" s="19">
        <f>IF('Оценки'!J39="","",'Оценки'!J39)</f>
        <v/>
      </c>
      <c r="H39" s="19">
        <f>IF(COUNT(D39:G39)=0,"",AVERAGE(D39:G39))</f>
        <v/>
      </c>
      <c r="I39" s="19">
        <f>IF(OR(C39="",H39=""),"",C39-H39)</f>
        <v/>
      </c>
      <c r="J39" s="18">
        <f>IF(I39="","",IF(I39&gt;=0.5,"⚠ переоценивает себя",IF(H39&lt;3,"низкий уровень","")))</f>
        <v/>
      </c>
    </row>
    <row r="40">
      <c r="A40" s="18" t="inlineStr">
        <is>
          <t>Смирнов А. П. (ПРИМЕР)</t>
        </is>
      </c>
      <c r="B40" s="12" t="inlineStr">
        <is>
          <t>Ведение мониторинга проектов в подсистеме «Совместная работа» на ИТ-платформе</t>
        </is>
      </c>
      <c r="C40" s="19">
        <f>IF('Оценки'!K40="","",'Оценки'!K40)</f>
        <v/>
      </c>
      <c r="D40" s="19">
        <f>IF('Оценки'!C40="","",'Оценки'!C40)</f>
        <v/>
      </c>
      <c r="E40" s="19">
        <f>IF(COUNT('Оценки'!D40:F40)=0,"",AVERAGE('Оценки'!D40:F40))</f>
        <v/>
      </c>
      <c r="F40" s="19">
        <f>IF(COUNT('Оценки'!G40:I40)=0,"",AVERAGE('Оценки'!G40:I40))</f>
        <v/>
      </c>
      <c r="G40" s="19">
        <f>IF('Оценки'!J40="","",'Оценки'!J40)</f>
        <v/>
      </c>
      <c r="H40" s="19">
        <f>IF(COUNT(D40:G40)=0,"",AVERAGE(D40:G40))</f>
        <v/>
      </c>
      <c r="I40" s="19">
        <f>IF(OR(C40="",H40=""),"",C40-H40)</f>
        <v/>
      </c>
      <c r="J40" s="18">
        <f>IF(I40="","",IF(I40&gt;=0.5,"⚠ переоценивает себя",IF(H40&lt;3,"низкий уровень","")))</f>
        <v/>
      </c>
    </row>
    <row r="41">
      <c r="A41" s="20" t="inlineStr">
        <is>
          <t>Смирнов А. П. (ПРИМЕР)</t>
        </is>
      </c>
      <c r="B41" s="20" t="inlineStr">
        <is>
          <t>ИТОГО (среднее по всем компетенциям)</t>
        </is>
      </c>
      <c r="C41" s="21">
        <f>IF(COUNT(C4:C40)=0,"",AVERAGE(C4:C40))</f>
        <v/>
      </c>
      <c r="D41" s="21">
        <f>IF(COUNT(D4:D40)=0,"",AVERAGE(D4:D40))</f>
        <v/>
      </c>
      <c r="E41" s="21">
        <f>IF(COUNT(E4:E40)=0,"",AVERAGE(E4:E40))</f>
        <v/>
      </c>
      <c r="F41" s="21">
        <f>IF(COUNT(F4:F40)=0,"",AVERAGE(F4:F40))</f>
        <v/>
      </c>
      <c r="G41" s="21">
        <f>IF(COUNT(G4:G40)=0,"",AVERAGE(G4:G40))</f>
        <v/>
      </c>
      <c r="H41" s="21">
        <f>IF(COUNT(H4:H40)=0,"",AVERAGE(H4:H40))</f>
        <v/>
      </c>
      <c r="I41" s="21">
        <f>IF(OR(C41="",H41=""),"",C41-H41)</f>
        <v/>
      </c>
      <c r="J41" s="20">
        <f>IF(I41="","",IF(I41&gt;=0.5,"⚠ переоценивает себя",IF(H41&lt;3,"низкий уровень","")))</f>
        <v/>
      </c>
    </row>
    <row r="42">
      <c r="A42" s="18" t="n"/>
      <c r="B42" s="18" t="n"/>
      <c r="C42" s="19" t="n"/>
      <c r="D42" s="19" t="n"/>
      <c r="E42" s="19" t="n"/>
      <c r="F42" s="19" t="n"/>
      <c r="G42" s="19" t="n"/>
      <c r="H42" s="19" t="n"/>
      <c r="I42" s="19" t="n"/>
      <c r="J42" s="18" t="n"/>
    </row>
    <row r="43">
      <c r="A43" s="18" t="inlineStr">
        <is>
          <t>РП-2</t>
        </is>
      </c>
      <c r="B43" s="8" t="inlineStr">
        <is>
          <t>Проведение оценки на соответствие предприятия обязательным критериям</t>
        </is>
      </c>
      <c r="C43" s="19">
        <f>IF('Оценки'!K43="","",'Оценки'!K43)</f>
        <v/>
      </c>
      <c r="D43" s="19">
        <f>IF('Оценки'!C43="","",'Оценки'!C43)</f>
        <v/>
      </c>
      <c r="E43" s="19">
        <f>IF(COUNT('Оценки'!D43:F43)=0,"",AVERAGE('Оценки'!D43:F43))</f>
        <v/>
      </c>
      <c r="F43" s="19">
        <f>IF(COUNT('Оценки'!G43:I43)=0,"",AVERAGE('Оценки'!G43:I43))</f>
        <v/>
      </c>
      <c r="G43" s="19">
        <f>IF('Оценки'!J43="","",'Оценки'!J43)</f>
        <v/>
      </c>
      <c r="H43" s="19">
        <f>IF(COUNT(D43:G43)=0,"",AVERAGE(D43:G43))</f>
        <v/>
      </c>
      <c r="I43" s="19">
        <f>IF(OR(C43="",H43=""),"",C43-H43)</f>
        <v/>
      </c>
      <c r="J43" s="18">
        <f>IF(I43="","",IF(I43&gt;=0.5,"⚠ переоценивает себя",IF(H43&lt;3,"низкий уровень","")))</f>
        <v/>
      </c>
    </row>
    <row r="44">
      <c r="A44" s="18" t="inlineStr">
        <is>
          <t>РП-2</t>
        </is>
      </c>
      <c r="B44" s="8" t="inlineStr">
        <is>
          <t>Проведение оценки готовности руководства предприятия к участию в проекте (интервью)</t>
        </is>
      </c>
      <c r="C44" s="19">
        <f>IF('Оценки'!K44="","",'Оценки'!K44)</f>
        <v/>
      </c>
      <c r="D44" s="19">
        <f>IF('Оценки'!C44="","",'Оценки'!C44)</f>
        <v/>
      </c>
      <c r="E44" s="19">
        <f>IF(COUNT('Оценки'!D44:F44)=0,"",AVERAGE('Оценки'!D44:F44))</f>
        <v/>
      </c>
      <c r="F44" s="19">
        <f>IF(COUNT('Оценки'!G44:I44)=0,"",AVERAGE('Оценки'!G44:I44))</f>
        <v/>
      </c>
      <c r="G44" s="19">
        <f>IF('Оценки'!J44="","",'Оценки'!J44)</f>
        <v/>
      </c>
      <c r="H44" s="19">
        <f>IF(COUNT(D44:G44)=0,"",AVERAGE(D44:G44))</f>
        <v/>
      </c>
      <c r="I44" s="19">
        <f>IF(OR(C44="",H44=""),"",C44-H44)</f>
        <v/>
      </c>
      <c r="J44" s="18">
        <f>IF(I44="","",IF(I44&gt;=0.5,"⚠ переоценивает себя",IF(H44&lt;3,"низкий уровень","")))</f>
        <v/>
      </c>
    </row>
    <row r="45">
      <c r="A45" s="18" t="inlineStr">
        <is>
          <t>РП-2</t>
        </is>
      </c>
      <c r="B45" s="8" t="inlineStr">
        <is>
          <t>Проведение визуальной оценки производственного процесса на предприятии (визит на площадку)</t>
        </is>
      </c>
      <c r="C45" s="19">
        <f>IF('Оценки'!K45="","",'Оценки'!K45)</f>
        <v/>
      </c>
      <c r="D45" s="19">
        <f>IF('Оценки'!C45="","",'Оценки'!C45)</f>
        <v/>
      </c>
      <c r="E45" s="19">
        <f>IF(COUNT('Оценки'!D45:F45)=0,"",AVERAGE('Оценки'!D45:F45))</f>
        <v/>
      </c>
      <c r="F45" s="19">
        <f>IF(COUNT('Оценки'!G45:I45)=0,"",AVERAGE('Оценки'!G45:I45))</f>
        <v/>
      </c>
      <c r="G45" s="19">
        <f>IF('Оценки'!J45="","",'Оценки'!J45)</f>
        <v/>
      </c>
      <c r="H45" s="19">
        <f>IF(COUNT(D45:G45)=0,"",AVERAGE(D45:G45))</f>
        <v/>
      </c>
      <c r="I45" s="19">
        <f>IF(OR(C45="",H45=""),"",C45-H45)</f>
        <v/>
      </c>
      <c r="J45" s="18">
        <f>IF(I45="","",IF(I45&gt;=0.5,"⚠ переоценивает себя",IF(H45&lt;3,"низкий уровень","")))</f>
        <v/>
      </c>
    </row>
    <row r="46">
      <c r="A46" s="18" t="inlineStr">
        <is>
          <t>РП-2</t>
        </is>
      </c>
      <c r="B46" s="8" t="inlineStr">
        <is>
          <t>Вовлечение руководства предприятий в федеральный проект</t>
        </is>
      </c>
      <c r="C46" s="19">
        <f>IF('Оценки'!K46="","",'Оценки'!K46)</f>
        <v/>
      </c>
      <c r="D46" s="19">
        <f>IF('Оценки'!C46="","",'Оценки'!C46)</f>
        <v/>
      </c>
      <c r="E46" s="19">
        <f>IF(COUNT('Оценки'!D46:F46)=0,"",AVERAGE('Оценки'!D46:F46))</f>
        <v/>
      </c>
      <c r="F46" s="19">
        <f>IF(COUNT('Оценки'!G46:I46)=0,"",AVERAGE('Оценки'!G46:I46))</f>
        <v/>
      </c>
      <c r="G46" s="19">
        <f>IF('Оценки'!J46="","",'Оценки'!J46)</f>
        <v/>
      </c>
      <c r="H46" s="19">
        <f>IF(COUNT(D46:G46)=0,"",AVERAGE(D46:G46))</f>
        <v/>
      </c>
      <c r="I46" s="19">
        <f>IF(OR(C46="",H46=""),"",C46-H46)</f>
        <v/>
      </c>
      <c r="J46" s="18">
        <f>IF(I46="","",IF(I46&gt;=0.5,"⚠ переоценивает себя",IF(H46&lt;3,"низкий уровень","")))</f>
        <v/>
      </c>
    </row>
    <row r="47">
      <c r="A47" s="18" t="inlineStr">
        <is>
          <t>РП-2</t>
        </is>
      </c>
      <c r="B47" s="8" t="inlineStr">
        <is>
          <t>Подписание соглашения о сотрудничестве между РЦК и предприятием</t>
        </is>
      </c>
      <c r="C47" s="19">
        <f>IF('Оценки'!K47="","",'Оценки'!K47)</f>
        <v/>
      </c>
      <c r="D47" s="19">
        <f>IF('Оценки'!C47="","",'Оценки'!C47)</f>
        <v/>
      </c>
      <c r="E47" s="19">
        <f>IF(COUNT('Оценки'!D47:F47)=0,"",AVERAGE('Оценки'!D47:F47))</f>
        <v/>
      </c>
      <c r="F47" s="19">
        <f>IF(COUNT('Оценки'!G47:I47)=0,"",AVERAGE('Оценки'!G47:I47))</f>
        <v/>
      </c>
      <c r="G47" s="19">
        <f>IF('Оценки'!J47="","",'Оценки'!J47)</f>
        <v/>
      </c>
      <c r="H47" s="19">
        <f>IF(COUNT(D47:G47)=0,"",AVERAGE(D47:G47))</f>
        <v/>
      </c>
      <c r="I47" s="19">
        <f>IF(OR(C47="",H47=""),"",C47-H47)</f>
        <v/>
      </c>
      <c r="J47" s="18">
        <f>IF(I47="","",IF(I47&gt;=0.5,"⚠ переоценивает себя",IF(H47&lt;3,"низкий уровень","")))</f>
        <v/>
      </c>
    </row>
    <row r="48">
      <c r="A48" s="18" t="inlineStr">
        <is>
          <t>РП-2</t>
        </is>
      </c>
      <c r="B48" s="10" t="inlineStr">
        <is>
          <t>Реализация организационных вех программы</t>
        </is>
      </c>
      <c r="C48" s="19">
        <f>IF('Оценки'!K48="","",'Оценки'!K48)</f>
        <v/>
      </c>
      <c r="D48" s="19">
        <f>IF('Оценки'!C48="","",'Оценки'!C48)</f>
        <v/>
      </c>
      <c r="E48" s="19">
        <f>IF(COUNT('Оценки'!D48:F48)=0,"",AVERAGE('Оценки'!D48:F48))</f>
        <v/>
      </c>
      <c r="F48" s="19">
        <f>IF(COUNT('Оценки'!G48:I48)=0,"",AVERAGE('Оценки'!G48:I48))</f>
        <v/>
      </c>
      <c r="G48" s="19">
        <f>IF('Оценки'!J48="","",'Оценки'!J48)</f>
        <v/>
      </c>
      <c r="H48" s="19">
        <f>IF(COUNT(D48:G48)=0,"",AVERAGE(D48:G48))</f>
        <v/>
      </c>
      <c r="I48" s="19">
        <f>IF(OR(C48="",H48=""),"",C48-H48)</f>
        <v/>
      </c>
      <c r="J48" s="18">
        <f>IF(I48="","",IF(I48&gt;=0.5,"⚠ переоценивает себя",IF(H48&lt;3,"низкий уровень","")))</f>
        <v/>
      </c>
    </row>
    <row r="49">
      <c r="A49" s="18" t="inlineStr">
        <is>
          <t>РП-2</t>
        </is>
      </c>
      <c r="B49" s="10" t="inlineStr">
        <is>
          <t>Формирование проектного офиса</t>
        </is>
      </c>
      <c r="C49" s="19">
        <f>IF('Оценки'!K49="","",'Оценки'!K49)</f>
        <v/>
      </c>
      <c r="D49" s="19">
        <f>IF('Оценки'!C49="","",'Оценки'!C49)</f>
        <v/>
      </c>
      <c r="E49" s="19">
        <f>IF(COUNT('Оценки'!D49:F49)=0,"",AVERAGE('Оценки'!D49:F49))</f>
        <v/>
      </c>
      <c r="F49" s="19">
        <f>IF(COUNT('Оценки'!G49:I49)=0,"",AVERAGE('Оценки'!G49:I49))</f>
        <v/>
      </c>
      <c r="G49" s="19">
        <f>IF('Оценки'!J49="","",'Оценки'!J49)</f>
        <v/>
      </c>
      <c r="H49" s="19">
        <f>IF(COUNT(D49:G49)=0,"",AVERAGE(D49:G49))</f>
        <v/>
      </c>
      <c r="I49" s="19">
        <f>IF(OR(C49="",H49=""),"",C49-H49)</f>
        <v/>
      </c>
      <c r="J49" s="18">
        <f>IF(I49="","",IF(I49&gt;=0.5,"⚠ переоценивает себя",IF(H49&lt;3,"низкий уровень","")))</f>
        <v/>
      </c>
    </row>
    <row r="50">
      <c r="A50" s="18" t="inlineStr">
        <is>
          <t>РП-2</t>
        </is>
      </c>
      <c r="B50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50" s="19">
        <f>IF('Оценки'!K50="","",'Оценки'!K50)</f>
        <v/>
      </c>
      <c r="D50" s="19">
        <f>IF('Оценки'!C50="","",'Оценки'!C50)</f>
        <v/>
      </c>
      <c r="E50" s="19">
        <f>IF(COUNT('Оценки'!D50:F50)=0,"",AVERAGE('Оценки'!D50:F50))</f>
        <v/>
      </c>
      <c r="F50" s="19">
        <f>IF(COUNT('Оценки'!G50:I50)=0,"",AVERAGE('Оценки'!G50:I50))</f>
        <v/>
      </c>
      <c r="G50" s="19">
        <f>IF('Оценки'!J50="","",'Оценки'!J50)</f>
        <v/>
      </c>
      <c r="H50" s="19">
        <f>IF(COUNT(D50:G50)=0,"",AVERAGE(D50:G50))</f>
        <v/>
      </c>
      <c r="I50" s="19">
        <f>IF(OR(C50="",H50=""),"",C50-H50)</f>
        <v/>
      </c>
      <c r="J50" s="18">
        <f>IF(I50="","",IF(I50&gt;=0.5,"⚠ переоценивает себя",IF(H50&lt;3,"низкий уровень","")))</f>
        <v/>
      </c>
    </row>
    <row r="51">
      <c r="A51" s="18" t="inlineStr">
        <is>
          <t>РП-2</t>
        </is>
      </c>
      <c r="B51" s="10" t="inlineStr">
        <is>
          <t>Выявление степени готовности предприятия к изменениям</t>
        </is>
      </c>
      <c r="C51" s="19">
        <f>IF('Оценки'!K51="","",'Оценки'!K51)</f>
        <v/>
      </c>
      <c r="D51" s="19">
        <f>IF('Оценки'!C51="","",'Оценки'!C51)</f>
        <v/>
      </c>
      <c r="E51" s="19">
        <f>IF(COUNT('Оценки'!D51:F51)=0,"",AVERAGE('Оценки'!D51:F51))</f>
        <v/>
      </c>
      <c r="F51" s="19">
        <f>IF(COUNT('Оценки'!G51:I51)=0,"",AVERAGE('Оценки'!G51:I51))</f>
        <v/>
      </c>
      <c r="G51" s="19">
        <f>IF('Оценки'!J51="","",'Оценки'!J51)</f>
        <v/>
      </c>
      <c r="H51" s="19">
        <f>IF(COUNT(D51:G51)=0,"",AVERAGE(D51:G51))</f>
        <v/>
      </c>
      <c r="I51" s="19">
        <f>IF(OR(C51="",H51=""),"",C51-H51)</f>
        <v/>
      </c>
      <c r="J51" s="18">
        <f>IF(I51="","",IF(I51&gt;=0.5,"⚠ переоценивает себя",IF(H51&lt;3,"низкий уровень","")))</f>
        <v/>
      </c>
    </row>
    <row r="52">
      <c r="A52" s="18" t="inlineStr">
        <is>
          <t>РП-2</t>
        </is>
      </c>
      <c r="B52" s="10" t="inlineStr">
        <is>
          <t>Составление плана ключевых событий</t>
        </is>
      </c>
      <c r="C52" s="19">
        <f>IF('Оценки'!K52="","",'Оценки'!K52)</f>
        <v/>
      </c>
      <c r="D52" s="19">
        <f>IF('Оценки'!C52="","",'Оценки'!C52)</f>
        <v/>
      </c>
      <c r="E52" s="19">
        <f>IF(COUNT('Оценки'!D52:F52)=0,"",AVERAGE('Оценки'!D52:F52))</f>
        <v/>
      </c>
      <c r="F52" s="19">
        <f>IF(COUNT('Оценки'!G52:I52)=0,"",AVERAGE('Оценки'!G52:I52))</f>
        <v/>
      </c>
      <c r="G52" s="19">
        <f>IF('Оценки'!J52="","",'Оценки'!J52)</f>
        <v/>
      </c>
      <c r="H52" s="19">
        <f>IF(COUNT(D52:G52)=0,"",AVERAGE(D52:G52))</f>
        <v/>
      </c>
      <c r="I52" s="19">
        <f>IF(OR(C52="",H52=""),"",C52-H52)</f>
        <v/>
      </c>
      <c r="J52" s="18">
        <f>IF(I52="","",IF(I52&gt;=0.5,"⚠ переоценивает себя",IF(H52&lt;3,"низкий уровень","")))</f>
        <v/>
      </c>
    </row>
    <row r="53">
      <c r="A53" s="18" t="inlineStr">
        <is>
          <t>РП-2</t>
        </is>
      </c>
      <c r="B53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53" s="19">
        <f>IF('Оценки'!K53="","",'Оценки'!K53)</f>
        <v/>
      </c>
      <c r="D53" s="19">
        <f>IF('Оценки'!C53="","",'Оценки'!C53)</f>
        <v/>
      </c>
      <c r="E53" s="19">
        <f>IF(COUNT('Оценки'!D53:F53)=0,"",AVERAGE('Оценки'!D53:F53))</f>
        <v/>
      </c>
      <c r="F53" s="19">
        <f>IF(COUNT('Оценки'!G53:I53)=0,"",AVERAGE('Оценки'!G53:I53))</f>
        <v/>
      </c>
      <c r="G53" s="19">
        <f>IF('Оценки'!J53="","",'Оценки'!J53)</f>
        <v/>
      </c>
      <c r="H53" s="19">
        <f>IF(COUNT(D53:G53)=0,"",AVERAGE(D53:G53))</f>
        <v/>
      </c>
      <c r="I53" s="19">
        <f>IF(OR(C53="",H53=""),"",C53-H53)</f>
        <v/>
      </c>
      <c r="J53" s="18">
        <f>IF(I53="","",IF(I53&gt;=0.5,"⚠ переоценивает себя",IF(H53&lt;3,"низкий уровень","")))</f>
        <v/>
      </c>
    </row>
    <row r="54">
      <c r="A54" s="18" t="inlineStr">
        <is>
          <t>РП-2</t>
        </is>
      </c>
      <c r="B54" s="10" t="inlineStr">
        <is>
          <t>Проведение анализа показателей проектов повышения производительности труда</t>
        </is>
      </c>
      <c r="C54" s="19">
        <f>IF('Оценки'!K54="","",'Оценки'!K54)</f>
        <v/>
      </c>
      <c r="D54" s="19">
        <f>IF('Оценки'!C54="","",'Оценки'!C54)</f>
        <v/>
      </c>
      <c r="E54" s="19">
        <f>IF(COUNT('Оценки'!D54:F54)=0,"",AVERAGE('Оценки'!D54:F54))</f>
        <v/>
      </c>
      <c r="F54" s="19">
        <f>IF(COUNT('Оценки'!G54:I54)=0,"",AVERAGE('Оценки'!G54:I54))</f>
        <v/>
      </c>
      <c r="G54" s="19">
        <f>IF('Оценки'!J54="","",'Оценки'!J54)</f>
        <v/>
      </c>
      <c r="H54" s="19">
        <f>IF(COUNT(D54:G54)=0,"",AVERAGE(D54:G54))</f>
        <v/>
      </c>
      <c r="I54" s="19">
        <f>IF(OR(C54="",H54=""),"",C54-H54)</f>
        <v/>
      </c>
      <c r="J54" s="18">
        <f>IF(I54="","",IF(I54&gt;=0.5,"⚠ переоценивает себя",IF(H54&lt;3,"низкий уровень","")))</f>
        <v/>
      </c>
    </row>
    <row r="55">
      <c r="A55" s="18" t="inlineStr">
        <is>
          <t>РП-2</t>
        </is>
      </c>
      <c r="B55" s="10" t="inlineStr">
        <is>
          <t>Создание карточки проекта</t>
        </is>
      </c>
      <c r="C55" s="19">
        <f>IF('Оценки'!K55="","",'Оценки'!K55)</f>
        <v/>
      </c>
      <c r="D55" s="19">
        <f>IF('Оценки'!C55="","",'Оценки'!C55)</f>
        <v/>
      </c>
      <c r="E55" s="19">
        <f>IF(COUNT('Оценки'!D55:F55)=0,"",AVERAGE('Оценки'!D55:F55))</f>
        <v/>
      </c>
      <c r="F55" s="19">
        <f>IF(COUNT('Оценки'!G55:I55)=0,"",AVERAGE('Оценки'!G55:I55))</f>
        <v/>
      </c>
      <c r="G55" s="19">
        <f>IF('Оценки'!J55="","",'Оценки'!J55)</f>
        <v/>
      </c>
      <c r="H55" s="19">
        <f>IF(COUNT(D55:G55)=0,"",AVERAGE(D55:G55))</f>
        <v/>
      </c>
      <c r="I55" s="19">
        <f>IF(OR(C55="",H55=""),"",C55-H55)</f>
        <v/>
      </c>
      <c r="J55" s="18">
        <f>IF(I55="","",IF(I55&gt;=0.5,"⚠ переоценивает себя",IF(H55&lt;3,"низкий уровень","")))</f>
        <v/>
      </c>
    </row>
    <row r="56">
      <c r="A56" s="18" t="inlineStr">
        <is>
          <t>РП-2</t>
        </is>
      </c>
      <c r="B56" s="10" t="inlineStr">
        <is>
          <t>Создание информационного центра проекта</t>
        </is>
      </c>
      <c r="C56" s="19">
        <f>IF('Оценки'!K56="","",'Оценки'!K56)</f>
        <v/>
      </c>
      <c r="D56" s="19">
        <f>IF('Оценки'!C56="","",'Оценки'!C56)</f>
        <v/>
      </c>
      <c r="E56" s="19">
        <f>IF(COUNT('Оценки'!D56:F56)=0,"",AVERAGE('Оценки'!D56:F56))</f>
        <v/>
      </c>
      <c r="F56" s="19">
        <f>IF(COUNT('Оценки'!G56:I56)=0,"",AVERAGE('Оценки'!G56:I56))</f>
        <v/>
      </c>
      <c r="G56" s="19">
        <f>IF('Оценки'!J56="","",'Оценки'!J56)</f>
        <v/>
      </c>
      <c r="H56" s="19">
        <f>IF(COUNT(D56:G56)=0,"",AVERAGE(D56:G56))</f>
        <v/>
      </c>
      <c r="I56" s="19">
        <f>IF(OR(C56="",H56=""),"",C56-H56)</f>
        <v/>
      </c>
      <c r="J56" s="18">
        <f>IF(I56="","",IF(I56&gt;=0.5,"⚠ переоценивает себя",IF(H56&lt;3,"низкий уровень","")))</f>
        <v/>
      </c>
    </row>
    <row r="57">
      <c r="A57" s="18" t="inlineStr">
        <is>
          <t>РП-2</t>
        </is>
      </c>
      <c r="B57" s="10" t="inlineStr">
        <is>
          <t>Создание эталонного участка</t>
        </is>
      </c>
      <c r="C57" s="19">
        <f>IF('Оценки'!K57="","",'Оценки'!K57)</f>
        <v/>
      </c>
      <c r="D57" s="19">
        <f>IF('Оценки'!C57="","",'Оценки'!C57)</f>
        <v/>
      </c>
      <c r="E57" s="19">
        <f>IF(COUNT('Оценки'!D57:F57)=0,"",AVERAGE('Оценки'!D57:F57))</f>
        <v/>
      </c>
      <c r="F57" s="19">
        <f>IF(COUNT('Оценки'!G57:I57)=0,"",AVERAGE('Оценки'!G57:I57))</f>
        <v/>
      </c>
      <c r="G57" s="19">
        <f>IF('Оценки'!J57="","",'Оценки'!J57)</f>
        <v/>
      </c>
      <c r="H57" s="19">
        <f>IF(COUNT(D57:G57)=0,"",AVERAGE(D57:G57))</f>
        <v/>
      </c>
      <c r="I57" s="19">
        <f>IF(OR(C57="",H57=""),"",C57-H57)</f>
        <v/>
      </c>
      <c r="J57" s="18">
        <f>IF(I57="","",IF(I57&gt;=0.5,"⚠ переоценивает себя",IF(H57&lt;3,"низкий уровень","")))</f>
        <v/>
      </c>
    </row>
    <row r="58">
      <c r="A58" s="18" t="inlineStr">
        <is>
          <t>РП-2</t>
        </is>
      </c>
      <c r="B58" s="10" t="inlineStr">
        <is>
          <t>Проведение оценки уровня развития производственной системы предприятия</t>
        </is>
      </c>
      <c r="C58" s="19">
        <f>IF('Оценки'!K58="","",'Оценки'!K58)</f>
        <v/>
      </c>
      <c r="D58" s="19">
        <f>IF('Оценки'!C58="","",'Оценки'!C58)</f>
        <v/>
      </c>
      <c r="E58" s="19">
        <f>IF(COUNT('Оценки'!D58:F58)=0,"",AVERAGE('Оценки'!D58:F58))</f>
        <v/>
      </c>
      <c r="F58" s="19">
        <f>IF(COUNT('Оценки'!G58:I58)=0,"",AVERAGE('Оценки'!G58:I58))</f>
        <v/>
      </c>
      <c r="G58" s="19">
        <f>IF('Оценки'!J58="","",'Оценки'!J58)</f>
        <v/>
      </c>
      <c r="H58" s="19">
        <f>IF(COUNT(D58:G58)=0,"",AVERAGE(D58:G58))</f>
        <v/>
      </c>
      <c r="I58" s="19">
        <f>IF(OR(C58="",H58=""),"",C58-H58)</f>
        <v/>
      </c>
      <c r="J58" s="18">
        <f>IF(I58="","",IF(I58&gt;=0.5,"⚠ переоценивает себя",IF(H58&lt;3,"низкий уровень","")))</f>
        <v/>
      </c>
    </row>
    <row r="59">
      <c r="A59" s="18" t="inlineStr">
        <is>
          <t>РП-2</t>
        </is>
      </c>
      <c r="B59" s="10" t="inlineStr">
        <is>
          <t>Внедрение информационных центров</t>
        </is>
      </c>
      <c r="C59" s="19">
        <f>IF('Оценки'!K59="","",'Оценки'!K59)</f>
        <v/>
      </c>
      <c r="D59" s="19">
        <f>IF('Оценки'!C59="","",'Оценки'!C59)</f>
        <v/>
      </c>
      <c r="E59" s="19">
        <f>IF(COUNT('Оценки'!D59:F59)=0,"",AVERAGE('Оценки'!D59:F59))</f>
        <v/>
      </c>
      <c r="F59" s="19">
        <f>IF(COUNT('Оценки'!G59:I59)=0,"",AVERAGE('Оценки'!G59:I59))</f>
        <v/>
      </c>
      <c r="G59" s="19">
        <f>IF('Оценки'!J59="","",'Оценки'!J59)</f>
        <v/>
      </c>
      <c r="H59" s="19">
        <f>IF(COUNT(D59:G59)=0,"",AVERAGE(D59:G59))</f>
        <v/>
      </c>
      <c r="I59" s="19">
        <f>IF(OR(C59="",H59=""),"",C59-H59)</f>
        <v/>
      </c>
      <c r="J59" s="18">
        <f>IF(I59="","",IF(I59&gt;=0.5,"⚠ переоценивает себя",IF(H59&lt;3,"низкий уровень","")))</f>
        <v/>
      </c>
    </row>
    <row r="60">
      <c r="A60" s="18" t="inlineStr">
        <is>
          <t>РП-2</t>
        </is>
      </c>
      <c r="B60" s="10" t="inlineStr">
        <is>
          <t>Подготовка к проведению тренингов</t>
        </is>
      </c>
      <c r="C60" s="19">
        <f>IF('Оценки'!K60="","",'Оценки'!K60)</f>
        <v/>
      </c>
      <c r="D60" s="19">
        <f>IF('Оценки'!C60="","",'Оценки'!C60)</f>
        <v/>
      </c>
      <c r="E60" s="19">
        <f>IF(COUNT('Оценки'!D60:F60)=0,"",AVERAGE('Оценки'!D60:F60))</f>
        <v/>
      </c>
      <c r="F60" s="19">
        <f>IF(COUNT('Оценки'!G60:I60)=0,"",AVERAGE('Оценки'!G60:I60))</f>
        <v/>
      </c>
      <c r="G60" s="19">
        <f>IF('Оценки'!J60="","",'Оценки'!J60)</f>
        <v/>
      </c>
      <c r="H60" s="19">
        <f>IF(COUNT(D60:G60)=0,"",AVERAGE(D60:G60))</f>
        <v/>
      </c>
      <c r="I60" s="19">
        <f>IF(OR(C60="",H60=""),"",C60-H60)</f>
        <v/>
      </c>
      <c r="J60" s="18">
        <f>IF(I60="","",IF(I60&gt;=0.5,"⚠ переоценивает себя",IF(H60&lt;3,"низкий уровень","")))</f>
        <v/>
      </c>
    </row>
    <row r="61">
      <c r="A61" s="18" t="inlineStr">
        <is>
          <t>РП-2</t>
        </is>
      </c>
      <c r="B61" s="10" t="inlineStr">
        <is>
          <t>Проведение тренингов по Бережливому производству</t>
        </is>
      </c>
      <c r="C61" s="19">
        <f>IF('Оценки'!K61="","",'Оценки'!K61)</f>
        <v/>
      </c>
      <c r="D61" s="19">
        <f>IF('Оценки'!C61="","",'Оценки'!C61)</f>
        <v/>
      </c>
      <c r="E61" s="19">
        <f>IF(COUNT('Оценки'!D61:F61)=0,"",AVERAGE('Оценки'!D61:F61))</f>
        <v/>
      </c>
      <c r="F61" s="19">
        <f>IF(COUNT('Оценки'!G61:I61)=0,"",AVERAGE('Оценки'!G61:I61))</f>
        <v/>
      </c>
      <c r="G61" s="19">
        <f>IF('Оценки'!J61="","",'Оценки'!J61)</f>
        <v/>
      </c>
      <c r="H61" s="19">
        <f>IF(COUNT(D61:G61)=0,"",AVERAGE(D61:G61))</f>
        <v/>
      </c>
      <c r="I61" s="19">
        <f>IF(OR(C61="",H61=""),"",C61-H61)</f>
        <v/>
      </c>
      <c r="J61" s="18">
        <f>IF(I61="","",IF(I61&gt;=0.5,"⚠ переоценивает себя",IF(H61&lt;3,"низкий уровень","")))</f>
        <v/>
      </c>
    </row>
    <row r="62">
      <c r="A62" s="18" t="inlineStr">
        <is>
          <t>РП-2</t>
        </is>
      </c>
      <c r="B62" s="10" t="inlineStr">
        <is>
          <t>Мониторинг проводимого обучения</t>
        </is>
      </c>
      <c r="C62" s="19">
        <f>IF('Оценки'!K62="","",'Оценки'!K62)</f>
        <v/>
      </c>
      <c r="D62" s="19">
        <f>IF('Оценки'!C62="","",'Оценки'!C62)</f>
        <v/>
      </c>
      <c r="E62" s="19">
        <f>IF(COUNT('Оценки'!D62:F62)=0,"",AVERAGE('Оценки'!D62:F62))</f>
        <v/>
      </c>
      <c r="F62" s="19">
        <f>IF(COUNT('Оценки'!G62:I62)=0,"",AVERAGE('Оценки'!G62:I62))</f>
        <v/>
      </c>
      <c r="G62" s="19">
        <f>IF('Оценки'!J62="","",'Оценки'!J62)</f>
        <v/>
      </c>
      <c r="H62" s="19">
        <f>IF(COUNT(D62:G62)=0,"",AVERAGE(D62:G62))</f>
        <v/>
      </c>
      <c r="I62" s="19">
        <f>IF(OR(C62="",H62=""),"",C62-H62)</f>
        <v/>
      </c>
      <c r="J62" s="18">
        <f>IF(I62="","",IF(I62&gt;=0.5,"⚠ переоценивает себя",IF(H62&lt;3,"низкий уровень","")))</f>
        <v/>
      </c>
    </row>
    <row r="63">
      <c r="A63" s="18" t="inlineStr">
        <is>
          <t>РП-2</t>
        </is>
      </c>
      <c r="B63" s="11" t="inlineStr">
        <is>
          <t>Картирование потоков и «Диаграмма спагетти»</t>
        </is>
      </c>
      <c r="C63" s="19">
        <f>IF('Оценки'!K63="","",'Оценки'!K63)</f>
        <v/>
      </c>
      <c r="D63" s="19">
        <f>IF('Оценки'!C63="","",'Оценки'!C63)</f>
        <v/>
      </c>
      <c r="E63" s="19">
        <f>IF(COUNT('Оценки'!D63:F63)=0,"",AVERAGE('Оценки'!D63:F63))</f>
        <v/>
      </c>
      <c r="F63" s="19">
        <f>IF(COUNT('Оценки'!G63:I63)=0,"",AVERAGE('Оценки'!G63:I63))</f>
        <v/>
      </c>
      <c r="G63" s="19">
        <f>IF('Оценки'!J63="","",'Оценки'!J63)</f>
        <v/>
      </c>
      <c r="H63" s="19">
        <f>IF(COUNT(D63:G63)=0,"",AVERAGE(D63:G63))</f>
        <v/>
      </c>
      <c r="I63" s="19">
        <f>IF(OR(C63="",H63=""),"",C63-H63)</f>
        <v/>
      </c>
      <c r="J63" s="18">
        <f>IF(I63="","",IF(I63&gt;=0.5,"⚠ переоценивает себя",IF(H63&lt;3,"низкий уровень","")))</f>
        <v/>
      </c>
    </row>
    <row r="64">
      <c r="A64" s="18" t="inlineStr">
        <is>
          <t>РП-2</t>
        </is>
      </c>
      <c r="B64" s="11" t="inlineStr">
        <is>
          <t>Производственный анализ</t>
        </is>
      </c>
      <c r="C64" s="19">
        <f>IF('Оценки'!K64="","",'Оценки'!K64)</f>
        <v/>
      </c>
      <c r="D64" s="19">
        <f>IF('Оценки'!C64="","",'Оценки'!C64)</f>
        <v/>
      </c>
      <c r="E64" s="19">
        <f>IF(COUNT('Оценки'!D64:F64)=0,"",AVERAGE('Оценки'!D64:F64))</f>
        <v/>
      </c>
      <c r="F64" s="19">
        <f>IF(COUNT('Оценки'!G64:I64)=0,"",AVERAGE('Оценки'!G64:I64))</f>
        <v/>
      </c>
      <c r="G64" s="19">
        <f>IF('Оценки'!J64="","",'Оценки'!J64)</f>
        <v/>
      </c>
      <c r="H64" s="19">
        <f>IF(COUNT(D64:G64)=0,"",AVERAGE(D64:G64))</f>
        <v/>
      </c>
      <c r="I64" s="19">
        <f>IF(OR(C64="",H64=""),"",C64-H64)</f>
        <v/>
      </c>
      <c r="J64" s="18">
        <f>IF(I64="","",IF(I64&gt;=0.5,"⚠ переоценивает себя",IF(H64&lt;3,"низкий уровень","")))</f>
        <v/>
      </c>
    </row>
    <row r="65">
      <c r="A65" s="18" t="inlineStr">
        <is>
          <t>РП-2</t>
        </is>
      </c>
      <c r="B65" s="11" t="inlineStr">
        <is>
          <t>Поток единичных изделий</t>
        </is>
      </c>
      <c r="C65" s="19">
        <f>IF('Оценки'!K65="","",'Оценки'!K65)</f>
        <v/>
      </c>
      <c r="D65" s="19">
        <f>IF('Оценки'!C65="","",'Оценки'!C65)</f>
        <v/>
      </c>
      <c r="E65" s="19">
        <f>IF(COUNT('Оценки'!D65:F65)=0,"",AVERAGE('Оценки'!D65:F65))</f>
        <v/>
      </c>
      <c r="F65" s="19">
        <f>IF(COUNT('Оценки'!G65:I65)=0,"",AVERAGE('Оценки'!G65:I65))</f>
        <v/>
      </c>
      <c r="G65" s="19">
        <f>IF('Оценки'!J65="","",'Оценки'!J65)</f>
        <v/>
      </c>
      <c r="H65" s="19">
        <f>IF(COUNT(D65:G65)=0,"",AVERAGE(D65:G65))</f>
        <v/>
      </c>
      <c r="I65" s="19">
        <f>IF(OR(C65="",H65=""),"",C65-H65)</f>
        <v/>
      </c>
      <c r="J65" s="18">
        <f>IF(I65="","",IF(I65&gt;=0.5,"⚠ переоценивает себя",IF(H65&lt;3,"низкий уровень","")))</f>
        <v/>
      </c>
    </row>
    <row r="66">
      <c r="A66" s="18" t="inlineStr">
        <is>
          <t>РП-2</t>
        </is>
      </c>
      <c r="B66" s="11" t="inlineStr">
        <is>
          <t>Система «Канбан»</t>
        </is>
      </c>
      <c r="C66" s="19">
        <f>IF('Оценки'!K66="","",'Оценки'!K66)</f>
        <v/>
      </c>
      <c r="D66" s="19">
        <f>IF('Оценки'!C66="","",'Оценки'!C66)</f>
        <v/>
      </c>
      <c r="E66" s="19">
        <f>IF(COUNT('Оценки'!D66:F66)=0,"",AVERAGE('Оценки'!D66:F66))</f>
        <v/>
      </c>
      <c r="F66" s="19">
        <f>IF(COUNT('Оценки'!G66:I66)=0,"",AVERAGE('Оценки'!G66:I66))</f>
        <v/>
      </c>
      <c r="G66" s="19">
        <f>IF('Оценки'!J66="","",'Оценки'!J66)</f>
        <v/>
      </c>
      <c r="H66" s="19">
        <f>IF(COUNT(D66:G66)=0,"",AVERAGE(D66:G66))</f>
        <v/>
      </c>
      <c r="I66" s="19">
        <f>IF(OR(C66="",H66=""),"",C66-H66)</f>
        <v/>
      </c>
      <c r="J66" s="18">
        <f>IF(I66="","",IF(I66&gt;=0.5,"⚠ переоценивает себя",IF(H66&lt;3,"низкий уровень","")))</f>
        <v/>
      </c>
    </row>
    <row r="67">
      <c r="A67" s="18" t="inlineStr">
        <is>
          <t>РП-2</t>
        </is>
      </c>
      <c r="B67" s="11" t="inlineStr">
        <is>
          <t>Стандартизированная работа</t>
        </is>
      </c>
      <c r="C67" s="19">
        <f>IF('Оценки'!K67="","",'Оценки'!K67)</f>
        <v/>
      </c>
      <c r="D67" s="19">
        <f>IF('Оценки'!C67="","",'Оценки'!C67)</f>
        <v/>
      </c>
      <c r="E67" s="19">
        <f>IF(COUNT('Оценки'!D67:F67)=0,"",AVERAGE('Оценки'!D67:F67))</f>
        <v/>
      </c>
      <c r="F67" s="19">
        <f>IF(COUNT('Оценки'!G67:I67)=0,"",AVERAGE('Оценки'!G67:I67))</f>
        <v/>
      </c>
      <c r="G67" s="19">
        <f>IF('Оценки'!J67="","",'Оценки'!J67)</f>
        <v/>
      </c>
      <c r="H67" s="19">
        <f>IF(COUNT(D67:G67)=0,"",AVERAGE(D67:G67))</f>
        <v/>
      </c>
      <c r="I67" s="19">
        <f>IF(OR(C67="",H67=""),"",C67-H67)</f>
        <v/>
      </c>
      <c r="J67" s="18">
        <f>IF(I67="","",IF(I67&gt;=0.5,"⚠ переоценивает себя",IF(H67&lt;3,"низкий уровень","")))</f>
        <v/>
      </c>
    </row>
    <row r="68">
      <c r="A68" s="18" t="inlineStr">
        <is>
          <t>РП-2</t>
        </is>
      </c>
      <c r="B68" s="11" t="inlineStr">
        <is>
          <t>Методы поиска первопричин и решения проблем</t>
        </is>
      </c>
      <c r="C68" s="19">
        <f>IF('Оценки'!K68="","",'Оценки'!K68)</f>
        <v/>
      </c>
      <c r="D68" s="19">
        <f>IF('Оценки'!C68="","",'Оценки'!C68)</f>
        <v/>
      </c>
      <c r="E68" s="19">
        <f>IF(COUNT('Оценки'!D68:F68)=0,"",AVERAGE('Оценки'!D68:F68))</f>
        <v/>
      </c>
      <c r="F68" s="19">
        <f>IF(COUNT('Оценки'!G68:I68)=0,"",AVERAGE('Оценки'!G68:I68))</f>
        <v/>
      </c>
      <c r="G68" s="19">
        <f>IF('Оценки'!J68="","",'Оценки'!J68)</f>
        <v/>
      </c>
      <c r="H68" s="19">
        <f>IF(COUNT(D68:G68)=0,"",AVERAGE(D68:G68))</f>
        <v/>
      </c>
      <c r="I68" s="19">
        <f>IF(OR(C68="",H68=""),"",C68-H68)</f>
        <v/>
      </c>
      <c r="J68" s="18">
        <f>IF(I68="","",IF(I68&gt;=0.5,"⚠ переоценивает себя",IF(H68&lt;3,"низкий уровень","")))</f>
        <v/>
      </c>
    </row>
    <row r="69">
      <c r="A69" s="18" t="inlineStr">
        <is>
          <t>РП-2</t>
        </is>
      </c>
      <c r="B69" s="11" t="inlineStr">
        <is>
          <t>Быстрая переналадка (SMED)</t>
        </is>
      </c>
      <c r="C69" s="19">
        <f>IF('Оценки'!K69="","",'Оценки'!K69)</f>
        <v/>
      </c>
      <c r="D69" s="19">
        <f>IF('Оценки'!C69="","",'Оценки'!C69)</f>
        <v/>
      </c>
      <c r="E69" s="19">
        <f>IF(COUNT('Оценки'!D69:F69)=0,"",AVERAGE('Оценки'!D69:F69))</f>
        <v/>
      </c>
      <c r="F69" s="19">
        <f>IF(COUNT('Оценки'!G69:I69)=0,"",AVERAGE('Оценки'!G69:I69))</f>
        <v/>
      </c>
      <c r="G69" s="19">
        <f>IF('Оценки'!J69="","",'Оценки'!J69)</f>
        <v/>
      </c>
      <c r="H69" s="19">
        <f>IF(COUNT(D69:G69)=0,"",AVERAGE(D69:G69))</f>
        <v/>
      </c>
      <c r="I69" s="19">
        <f>IF(OR(C69="",H69=""),"",C69-H69)</f>
        <v/>
      </c>
      <c r="J69" s="18">
        <f>IF(I69="","",IF(I69&gt;=0.5,"⚠ переоценивает себя",IF(H69&lt;3,"низкий уровень","")))</f>
        <v/>
      </c>
    </row>
    <row r="70">
      <c r="A70" s="18" t="inlineStr">
        <is>
          <t>РП-2</t>
        </is>
      </c>
      <c r="B70" s="11" t="inlineStr">
        <is>
          <t>«Poka-Yoke» (защита от ошибок)</t>
        </is>
      </c>
      <c r="C70" s="19">
        <f>IF('Оценки'!K70="","",'Оценки'!K70)</f>
        <v/>
      </c>
      <c r="D70" s="19">
        <f>IF('Оценки'!C70="","",'Оценки'!C70)</f>
        <v/>
      </c>
      <c r="E70" s="19">
        <f>IF(COUNT('Оценки'!D70:F70)=0,"",AVERAGE('Оценки'!D70:F70))</f>
        <v/>
      </c>
      <c r="F70" s="19">
        <f>IF(COUNT('Оценки'!G70:I70)=0,"",AVERAGE('Оценки'!G70:I70))</f>
        <v/>
      </c>
      <c r="G70" s="19">
        <f>IF('Оценки'!J70="","",'Оценки'!J70)</f>
        <v/>
      </c>
      <c r="H70" s="19">
        <f>IF(COUNT(D70:G70)=0,"",AVERAGE(D70:G70))</f>
        <v/>
      </c>
      <c r="I70" s="19">
        <f>IF(OR(C70="",H70=""),"",C70-H70)</f>
        <v/>
      </c>
      <c r="J70" s="18">
        <f>IF(I70="","",IF(I70&gt;=0.5,"⚠ переоценивает себя",IF(H70&lt;3,"низкий уровень","")))</f>
        <v/>
      </c>
    </row>
    <row r="71">
      <c r="A71" s="18" t="inlineStr">
        <is>
          <t>РП-2</t>
        </is>
      </c>
      <c r="B71" s="11" t="inlineStr">
        <is>
          <t>5С на производстве и в офисе</t>
        </is>
      </c>
      <c r="C71" s="19">
        <f>IF('Оценки'!K71="","",'Оценки'!K71)</f>
        <v/>
      </c>
      <c r="D71" s="19">
        <f>IF('Оценки'!C71="","",'Оценки'!C71)</f>
        <v/>
      </c>
      <c r="E71" s="19">
        <f>IF(COUNT('Оценки'!D71:F71)=0,"",AVERAGE('Оценки'!D71:F71))</f>
        <v/>
      </c>
      <c r="F71" s="19">
        <f>IF(COUNT('Оценки'!G71:I71)=0,"",AVERAGE('Оценки'!G71:I71))</f>
        <v/>
      </c>
      <c r="G71" s="19">
        <f>IF('Оценки'!J71="","",'Оценки'!J71)</f>
        <v/>
      </c>
      <c r="H71" s="19">
        <f>IF(COUNT(D71:G71)=0,"",AVERAGE(D71:G71))</f>
        <v/>
      </c>
      <c r="I71" s="19">
        <f>IF(OR(C71="",H71=""),"",C71-H71)</f>
        <v/>
      </c>
      <c r="J71" s="18">
        <f>IF(I71="","",IF(I71&gt;=0.5,"⚠ переоценивает себя",IF(H71&lt;3,"низкий уровень","")))</f>
        <v/>
      </c>
    </row>
    <row r="72">
      <c r="A72" s="18" t="inlineStr">
        <is>
          <t>РП-2</t>
        </is>
      </c>
      <c r="B72" s="11" t="inlineStr">
        <is>
          <t>ОЕЕ — анализ эффективности оборудования</t>
        </is>
      </c>
      <c r="C72" s="19">
        <f>IF('Оценки'!K72="","",'Оценки'!K72)</f>
        <v/>
      </c>
      <c r="D72" s="19">
        <f>IF('Оценки'!C72="","",'Оценки'!C72)</f>
        <v/>
      </c>
      <c r="E72" s="19">
        <f>IF(COUNT('Оценки'!D72:F72)=0,"",AVERAGE('Оценки'!D72:F72))</f>
        <v/>
      </c>
      <c r="F72" s="19">
        <f>IF(COUNT('Оценки'!G72:I72)=0,"",AVERAGE('Оценки'!G72:I72))</f>
        <v/>
      </c>
      <c r="G72" s="19">
        <f>IF('Оценки'!J72="","",'Оценки'!J72)</f>
        <v/>
      </c>
      <c r="H72" s="19">
        <f>IF(COUNT(D72:G72)=0,"",AVERAGE(D72:G72))</f>
        <v/>
      </c>
      <c r="I72" s="19">
        <f>IF(OR(C72="",H72=""),"",C72-H72)</f>
        <v/>
      </c>
      <c r="J72" s="18">
        <f>IF(I72="","",IF(I72&gt;=0.5,"⚠ переоценивает себя",IF(H72&lt;3,"низкий уровень","")))</f>
        <v/>
      </c>
    </row>
    <row r="73">
      <c r="A73" s="18" t="inlineStr">
        <is>
          <t>РП-2</t>
        </is>
      </c>
      <c r="B73" s="11" t="inlineStr">
        <is>
          <t>Автономное обслуживание оборудования</t>
        </is>
      </c>
      <c r="C73" s="19">
        <f>IF('Оценки'!K73="","",'Оценки'!K73)</f>
        <v/>
      </c>
      <c r="D73" s="19">
        <f>IF('Оценки'!C73="","",'Оценки'!C73)</f>
        <v/>
      </c>
      <c r="E73" s="19">
        <f>IF(COUNT('Оценки'!D73:F73)=0,"",AVERAGE('Оценки'!D73:F73))</f>
        <v/>
      </c>
      <c r="F73" s="19">
        <f>IF(COUNT('Оценки'!G73:I73)=0,"",AVERAGE('Оценки'!G73:I73))</f>
        <v/>
      </c>
      <c r="G73" s="19">
        <f>IF('Оценки'!J73="","",'Оценки'!J73)</f>
        <v/>
      </c>
      <c r="H73" s="19">
        <f>IF(COUNT(D73:G73)=0,"",AVERAGE(D73:G73))</f>
        <v/>
      </c>
      <c r="I73" s="19">
        <f>IF(OR(C73="",H73=""),"",C73-H73)</f>
        <v/>
      </c>
      <c r="J73" s="18">
        <f>IF(I73="","",IF(I73&gt;=0.5,"⚠ переоценивает себя",IF(H73&lt;3,"низкий уровень","")))</f>
        <v/>
      </c>
    </row>
    <row r="74">
      <c r="A74" s="18" t="inlineStr">
        <is>
          <t>РП-2</t>
        </is>
      </c>
      <c r="B74" s="11" t="inlineStr">
        <is>
          <t>Управление запасами</t>
        </is>
      </c>
      <c r="C74" s="19">
        <f>IF('Оценки'!K74="","",'Оценки'!K74)</f>
        <v/>
      </c>
      <c r="D74" s="19">
        <f>IF('Оценки'!C74="","",'Оценки'!C74)</f>
        <v/>
      </c>
      <c r="E74" s="19">
        <f>IF(COUNT('Оценки'!D74:F74)=0,"",AVERAGE('Оценки'!D74:F74))</f>
        <v/>
      </c>
      <c r="F74" s="19">
        <f>IF(COUNT('Оценки'!G74:I74)=0,"",AVERAGE('Оценки'!G74:I74))</f>
        <v/>
      </c>
      <c r="G74" s="19">
        <f>IF('Оценки'!J74="","",'Оценки'!J74)</f>
        <v/>
      </c>
      <c r="H74" s="19">
        <f>IF(COUNT(D74:G74)=0,"",AVERAGE(D74:G74))</f>
        <v/>
      </c>
      <c r="I74" s="19">
        <f>IF(OR(C74="",H74=""),"",C74-H74)</f>
        <v/>
      </c>
      <c r="J74" s="18">
        <f>IF(I74="","",IF(I74&gt;=0.5,"⚠ переоценивает себя",IF(H74&lt;3,"низкий уровень","")))</f>
        <v/>
      </c>
    </row>
    <row r="75">
      <c r="A75" s="18" t="inlineStr">
        <is>
          <t>РП-2</t>
        </is>
      </c>
      <c r="B75" s="12" t="inlineStr">
        <is>
          <t>Сбор и проверка данных от предприятий-участников, выработка корректирующих мероприятий</t>
        </is>
      </c>
      <c r="C75" s="19">
        <f>IF('Оценки'!K75="","",'Оценки'!K75)</f>
        <v/>
      </c>
      <c r="D75" s="19">
        <f>IF('Оценки'!C75="","",'Оценки'!C75)</f>
        <v/>
      </c>
      <c r="E75" s="19">
        <f>IF(COUNT('Оценки'!D75:F75)=0,"",AVERAGE('Оценки'!D75:F75))</f>
        <v/>
      </c>
      <c r="F75" s="19">
        <f>IF(COUNT('Оценки'!G75:I75)=0,"",AVERAGE('Оценки'!G75:I75))</f>
        <v/>
      </c>
      <c r="G75" s="19">
        <f>IF('Оценки'!J75="","",'Оценки'!J75)</f>
        <v/>
      </c>
      <c r="H75" s="19">
        <f>IF(COUNT(D75:G75)=0,"",AVERAGE(D75:G75))</f>
        <v/>
      </c>
      <c r="I75" s="19">
        <f>IF(OR(C75="",H75=""),"",C75-H75)</f>
        <v/>
      </c>
      <c r="J75" s="18">
        <f>IF(I75="","",IF(I75&gt;=0.5,"⚠ переоценивает себя",IF(H75&lt;3,"низкий уровень","")))</f>
        <v/>
      </c>
    </row>
    <row r="76">
      <c r="A76" s="18" t="inlineStr">
        <is>
          <t>РП-2</t>
        </is>
      </c>
      <c r="B76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76" s="19">
        <f>IF('Оценки'!K76="","",'Оценки'!K76)</f>
        <v/>
      </c>
      <c r="D76" s="19">
        <f>IF('Оценки'!C76="","",'Оценки'!C76)</f>
        <v/>
      </c>
      <c r="E76" s="19">
        <f>IF(COUNT('Оценки'!D76:F76)=0,"",AVERAGE('Оценки'!D76:F76))</f>
        <v/>
      </c>
      <c r="F76" s="19">
        <f>IF(COUNT('Оценки'!G76:I76)=0,"",AVERAGE('Оценки'!G76:I76))</f>
        <v/>
      </c>
      <c r="G76" s="19">
        <f>IF('Оценки'!J76="","",'Оценки'!J76)</f>
        <v/>
      </c>
      <c r="H76" s="19">
        <f>IF(COUNT(D76:G76)=0,"",AVERAGE(D76:G76))</f>
        <v/>
      </c>
      <c r="I76" s="19">
        <f>IF(OR(C76="",H76=""),"",C76-H76)</f>
        <v/>
      </c>
      <c r="J76" s="18">
        <f>IF(I76="","",IF(I76&gt;=0.5,"⚠ переоценивает себя",IF(H76&lt;3,"низкий уровень","")))</f>
        <v/>
      </c>
    </row>
    <row r="77">
      <c r="A77" s="18" t="inlineStr">
        <is>
          <t>РП-2</t>
        </is>
      </c>
      <c r="B77" s="12" t="inlineStr">
        <is>
          <t>Поиск и распространение лучших практик по производительности труда</t>
        </is>
      </c>
      <c r="C77" s="19">
        <f>IF('Оценки'!K77="","",'Оценки'!K77)</f>
        <v/>
      </c>
      <c r="D77" s="19">
        <f>IF('Оценки'!C77="","",'Оценки'!C77)</f>
        <v/>
      </c>
      <c r="E77" s="19">
        <f>IF(COUNT('Оценки'!D77:F77)=0,"",AVERAGE('Оценки'!D77:F77))</f>
        <v/>
      </c>
      <c r="F77" s="19">
        <f>IF(COUNT('Оценки'!G77:I77)=0,"",AVERAGE('Оценки'!G77:I77))</f>
        <v/>
      </c>
      <c r="G77" s="19">
        <f>IF('Оценки'!J77="","",'Оценки'!J77)</f>
        <v/>
      </c>
      <c r="H77" s="19">
        <f>IF(COUNT(D77:G77)=0,"",AVERAGE(D77:G77))</f>
        <v/>
      </c>
      <c r="I77" s="19">
        <f>IF(OR(C77="",H77=""),"",C77-H77)</f>
        <v/>
      </c>
      <c r="J77" s="18">
        <f>IF(I77="","",IF(I77&gt;=0.5,"⚠ переоценивает себя",IF(H77&lt;3,"низкий уровень","")))</f>
        <v/>
      </c>
    </row>
    <row r="78">
      <c r="A78" s="18" t="inlineStr">
        <is>
          <t>РП-2</t>
        </is>
      </c>
      <c r="B78" s="12" t="inlineStr">
        <is>
          <t>Организация работы с предложениями по улучшению (ППУ)</t>
        </is>
      </c>
      <c r="C78" s="19">
        <f>IF('Оценки'!K78="","",'Оценки'!K78)</f>
        <v/>
      </c>
      <c r="D78" s="19">
        <f>IF('Оценки'!C78="","",'Оценки'!C78)</f>
        <v/>
      </c>
      <c r="E78" s="19">
        <f>IF(COUNT('Оценки'!D78:F78)=0,"",AVERAGE('Оценки'!D78:F78))</f>
        <v/>
      </c>
      <c r="F78" s="19">
        <f>IF(COUNT('Оценки'!G78:I78)=0,"",AVERAGE('Оценки'!G78:I78))</f>
        <v/>
      </c>
      <c r="G78" s="19">
        <f>IF('Оценки'!J78="","",'Оценки'!J78)</f>
        <v/>
      </c>
      <c r="H78" s="19">
        <f>IF(COUNT(D78:G78)=0,"",AVERAGE(D78:G78))</f>
        <v/>
      </c>
      <c r="I78" s="19">
        <f>IF(OR(C78="",H78=""),"",C78-H78)</f>
        <v/>
      </c>
      <c r="J78" s="18">
        <f>IF(I78="","",IF(I78&gt;=0.5,"⚠ переоценивает себя",IF(H78&lt;3,"низкий уровень","")))</f>
        <v/>
      </c>
    </row>
    <row r="79">
      <c r="A79" s="18" t="inlineStr">
        <is>
          <t>РП-2</t>
        </is>
      </c>
      <c r="B79" s="12" t="inlineStr">
        <is>
          <t>Ведение мониторинга проектов в подсистеме «Совместная работа» на ИТ-платформе</t>
        </is>
      </c>
      <c r="C79" s="19">
        <f>IF('Оценки'!K79="","",'Оценки'!K79)</f>
        <v/>
      </c>
      <c r="D79" s="19">
        <f>IF('Оценки'!C79="","",'Оценки'!C79)</f>
        <v/>
      </c>
      <c r="E79" s="19">
        <f>IF(COUNT('Оценки'!D79:F79)=0,"",AVERAGE('Оценки'!D79:F79))</f>
        <v/>
      </c>
      <c r="F79" s="19">
        <f>IF(COUNT('Оценки'!G79:I79)=0,"",AVERAGE('Оценки'!G79:I79))</f>
        <v/>
      </c>
      <c r="G79" s="19">
        <f>IF('Оценки'!J79="","",'Оценки'!J79)</f>
        <v/>
      </c>
      <c r="H79" s="19">
        <f>IF(COUNT(D79:G79)=0,"",AVERAGE(D79:G79))</f>
        <v/>
      </c>
      <c r="I79" s="19">
        <f>IF(OR(C79="",H79=""),"",C79-H79)</f>
        <v/>
      </c>
      <c r="J79" s="18">
        <f>IF(I79="","",IF(I79&gt;=0.5,"⚠ переоценивает себя",IF(H79&lt;3,"низкий уровень","")))</f>
        <v/>
      </c>
    </row>
    <row r="80">
      <c r="A80" s="20" t="inlineStr">
        <is>
          <t>РП-2</t>
        </is>
      </c>
      <c r="B80" s="20" t="inlineStr">
        <is>
          <t>ИТОГО (среднее по всем компетенциям)</t>
        </is>
      </c>
      <c r="C80" s="21">
        <f>IF(COUNT(C43:C79)=0,"",AVERAGE(C43:C79))</f>
        <v/>
      </c>
      <c r="D80" s="21">
        <f>IF(COUNT(D43:D79)=0,"",AVERAGE(D43:D79))</f>
        <v/>
      </c>
      <c r="E80" s="21">
        <f>IF(COUNT(E43:E79)=0,"",AVERAGE(E43:E79))</f>
        <v/>
      </c>
      <c r="F80" s="21">
        <f>IF(COUNT(F43:F79)=0,"",AVERAGE(F43:F79))</f>
        <v/>
      </c>
      <c r="G80" s="21">
        <f>IF(COUNT(G43:G79)=0,"",AVERAGE(G43:G79))</f>
        <v/>
      </c>
      <c r="H80" s="21">
        <f>IF(COUNT(H43:H79)=0,"",AVERAGE(H43:H79))</f>
        <v/>
      </c>
      <c r="I80" s="21">
        <f>IF(OR(C80="",H80=""),"",C80-H80)</f>
        <v/>
      </c>
      <c r="J80" s="20">
        <f>IF(I80="","",IF(I80&gt;=0.5,"⚠ переоценивает себя",IF(H80&lt;3,"низкий уровень","")))</f>
        <v/>
      </c>
    </row>
    <row r="81">
      <c r="A81" s="18" t="n"/>
      <c r="B81" s="18" t="n"/>
      <c r="C81" s="19" t="n"/>
      <c r="D81" s="19" t="n"/>
      <c r="E81" s="19" t="n"/>
      <c r="F81" s="19" t="n"/>
      <c r="G81" s="19" t="n"/>
      <c r="H81" s="19" t="n"/>
      <c r="I81" s="19" t="n"/>
      <c r="J81" s="18" t="n"/>
    </row>
    <row r="82">
      <c r="A82" s="18" t="inlineStr">
        <is>
          <t>РП-3</t>
        </is>
      </c>
      <c r="B82" s="8" t="inlineStr">
        <is>
          <t>Проведение оценки на соответствие предприятия обязательным критериям</t>
        </is>
      </c>
      <c r="C82" s="19">
        <f>IF('Оценки'!K82="","",'Оценки'!K82)</f>
        <v/>
      </c>
      <c r="D82" s="19">
        <f>IF('Оценки'!C82="","",'Оценки'!C82)</f>
        <v/>
      </c>
      <c r="E82" s="19">
        <f>IF(COUNT('Оценки'!D82:F82)=0,"",AVERAGE('Оценки'!D82:F82))</f>
        <v/>
      </c>
      <c r="F82" s="19">
        <f>IF(COUNT('Оценки'!G82:I82)=0,"",AVERAGE('Оценки'!G82:I82))</f>
        <v/>
      </c>
      <c r="G82" s="19">
        <f>IF('Оценки'!J82="","",'Оценки'!J82)</f>
        <v/>
      </c>
      <c r="H82" s="19">
        <f>IF(COUNT(D82:G82)=0,"",AVERAGE(D82:G82))</f>
        <v/>
      </c>
      <c r="I82" s="19">
        <f>IF(OR(C82="",H82=""),"",C82-H82)</f>
        <v/>
      </c>
      <c r="J82" s="18">
        <f>IF(I82="","",IF(I82&gt;=0.5,"⚠ переоценивает себя",IF(H82&lt;3,"низкий уровень","")))</f>
        <v/>
      </c>
    </row>
    <row r="83">
      <c r="A83" s="18" t="inlineStr">
        <is>
          <t>РП-3</t>
        </is>
      </c>
      <c r="B83" s="8" t="inlineStr">
        <is>
          <t>Проведение оценки готовности руководства предприятия к участию в проекте (интервью)</t>
        </is>
      </c>
      <c r="C83" s="19">
        <f>IF('Оценки'!K83="","",'Оценки'!K83)</f>
        <v/>
      </c>
      <c r="D83" s="19">
        <f>IF('Оценки'!C83="","",'Оценки'!C83)</f>
        <v/>
      </c>
      <c r="E83" s="19">
        <f>IF(COUNT('Оценки'!D83:F83)=0,"",AVERAGE('Оценки'!D83:F83))</f>
        <v/>
      </c>
      <c r="F83" s="19">
        <f>IF(COUNT('Оценки'!G83:I83)=0,"",AVERAGE('Оценки'!G83:I83))</f>
        <v/>
      </c>
      <c r="G83" s="19">
        <f>IF('Оценки'!J83="","",'Оценки'!J83)</f>
        <v/>
      </c>
      <c r="H83" s="19">
        <f>IF(COUNT(D83:G83)=0,"",AVERAGE(D83:G83))</f>
        <v/>
      </c>
      <c r="I83" s="19">
        <f>IF(OR(C83="",H83=""),"",C83-H83)</f>
        <v/>
      </c>
      <c r="J83" s="18">
        <f>IF(I83="","",IF(I83&gt;=0.5,"⚠ переоценивает себя",IF(H83&lt;3,"низкий уровень","")))</f>
        <v/>
      </c>
    </row>
    <row r="84">
      <c r="A84" s="18" t="inlineStr">
        <is>
          <t>РП-3</t>
        </is>
      </c>
      <c r="B84" s="8" t="inlineStr">
        <is>
          <t>Проведение визуальной оценки производственного процесса на предприятии (визит на площадку)</t>
        </is>
      </c>
      <c r="C84" s="19">
        <f>IF('Оценки'!K84="","",'Оценки'!K84)</f>
        <v/>
      </c>
      <c r="D84" s="19">
        <f>IF('Оценки'!C84="","",'Оценки'!C84)</f>
        <v/>
      </c>
      <c r="E84" s="19">
        <f>IF(COUNT('Оценки'!D84:F84)=0,"",AVERAGE('Оценки'!D84:F84))</f>
        <v/>
      </c>
      <c r="F84" s="19">
        <f>IF(COUNT('Оценки'!G84:I84)=0,"",AVERAGE('Оценки'!G84:I84))</f>
        <v/>
      </c>
      <c r="G84" s="19">
        <f>IF('Оценки'!J84="","",'Оценки'!J84)</f>
        <v/>
      </c>
      <c r="H84" s="19">
        <f>IF(COUNT(D84:G84)=0,"",AVERAGE(D84:G84))</f>
        <v/>
      </c>
      <c r="I84" s="19">
        <f>IF(OR(C84="",H84=""),"",C84-H84)</f>
        <v/>
      </c>
      <c r="J84" s="18">
        <f>IF(I84="","",IF(I84&gt;=0.5,"⚠ переоценивает себя",IF(H84&lt;3,"низкий уровень","")))</f>
        <v/>
      </c>
    </row>
    <row r="85">
      <c r="A85" s="18" t="inlineStr">
        <is>
          <t>РП-3</t>
        </is>
      </c>
      <c r="B85" s="8" t="inlineStr">
        <is>
          <t>Вовлечение руководства предприятий в федеральный проект</t>
        </is>
      </c>
      <c r="C85" s="19">
        <f>IF('Оценки'!K85="","",'Оценки'!K85)</f>
        <v/>
      </c>
      <c r="D85" s="19">
        <f>IF('Оценки'!C85="","",'Оценки'!C85)</f>
        <v/>
      </c>
      <c r="E85" s="19">
        <f>IF(COUNT('Оценки'!D85:F85)=0,"",AVERAGE('Оценки'!D85:F85))</f>
        <v/>
      </c>
      <c r="F85" s="19">
        <f>IF(COUNT('Оценки'!G85:I85)=0,"",AVERAGE('Оценки'!G85:I85))</f>
        <v/>
      </c>
      <c r="G85" s="19">
        <f>IF('Оценки'!J85="","",'Оценки'!J85)</f>
        <v/>
      </c>
      <c r="H85" s="19">
        <f>IF(COUNT(D85:G85)=0,"",AVERAGE(D85:G85))</f>
        <v/>
      </c>
      <c r="I85" s="19">
        <f>IF(OR(C85="",H85=""),"",C85-H85)</f>
        <v/>
      </c>
      <c r="J85" s="18">
        <f>IF(I85="","",IF(I85&gt;=0.5,"⚠ переоценивает себя",IF(H85&lt;3,"низкий уровень","")))</f>
        <v/>
      </c>
    </row>
    <row r="86">
      <c r="A86" s="18" t="inlineStr">
        <is>
          <t>РП-3</t>
        </is>
      </c>
      <c r="B86" s="8" t="inlineStr">
        <is>
          <t>Подписание соглашения о сотрудничестве между РЦК и предприятием</t>
        </is>
      </c>
      <c r="C86" s="19">
        <f>IF('Оценки'!K86="","",'Оценки'!K86)</f>
        <v/>
      </c>
      <c r="D86" s="19">
        <f>IF('Оценки'!C86="","",'Оценки'!C86)</f>
        <v/>
      </c>
      <c r="E86" s="19">
        <f>IF(COUNT('Оценки'!D86:F86)=0,"",AVERAGE('Оценки'!D86:F86))</f>
        <v/>
      </c>
      <c r="F86" s="19">
        <f>IF(COUNT('Оценки'!G86:I86)=0,"",AVERAGE('Оценки'!G86:I86))</f>
        <v/>
      </c>
      <c r="G86" s="19">
        <f>IF('Оценки'!J86="","",'Оценки'!J86)</f>
        <v/>
      </c>
      <c r="H86" s="19">
        <f>IF(COUNT(D86:G86)=0,"",AVERAGE(D86:G86))</f>
        <v/>
      </c>
      <c r="I86" s="19">
        <f>IF(OR(C86="",H86=""),"",C86-H86)</f>
        <v/>
      </c>
      <c r="J86" s="18">
        <f>IF(I86="","",IF(I86&gt;=0.5,"⚠ переоценивает себя",IF(H86&lt;3,"низкий уровень","")))</f>
        <v/>
      </c>
    </row>
    <row r="87">
      <c r="A87" s="18" t="inlineStr">
        <is>
          <t>РП-3</t>
        </is>
      </c>
      <c r="B87" s="10" t="inlineStr">
        <is>
          <t>Реализация организационных вех программы</t>
        </is>
      </c>
      <c r="C87" s="19">
        <f>IF('Оценки'!K87="","",'Оценки'!K87)</f>
        <v/>
      </c>
      <c r="D87" s="19">
        <f>IF('Оценки'!C87="","",'Оценки'!C87)</f>
        <v/>
      </c>
      <c r="E87" s="19">
        <f>IF(COUNT('Оценки'!D87:F87)=0,"",AVERAGE('Оценки'!D87:F87))</f>
        <v/>
      </c>
      <c r="F87" s="19">
        <f>IF(COUNT('Оценки'!G87:I87)=0,"",AVERAGE('Оценки'!G87:I87))</f>
        <v/>
      </c>
      <c r="G87" s="19">
        <f>IF('Оценки'!J87="","",'Оценки'!J87)</f>
        <v/>
      </c>
      <c r="H87" s="19">
        <f>IF(COUNT(D87:G87)=0,"",AVERAGE(D87:G87))</f>
        <v/>
      </c>
      <c r="I87" s="19">
        <f>IF(OR(C87="",H87=""),"",C87-H87)</f>
        <v/>
      </c>
      <c r="J87" s="18">
        <f>IF(I87="","",IF(I87&gt;=0.5,"⚠ переоценивает себя",IF(H87&lt;3,"низкий уровень","")))</f>
        <v/>
      </c>
    </row>
    <row r="88">
      <c r="A88" s="18" t="inlineStr">
        <is>
          <t>РП-3</t>
        </is>
      </c>
      <c r="B88" s="10" t="inlineStr">
        <is>
          <t>Формирование проектного офиса</t>
        </is>
      </c>
      <c r="C88" s="19">
        <f>IF('Оценки'!K88="","",'Оценки'!K88)</f>
        <v/>
      </c>
      <c r="D88" s="19">
        <f>IF('Оценки'!C88="","",'Оценки'!C88)</f>
        <v/>
      </c>
      <c r="E88" s="19">
        <f>IF(COUNT('Оценки'!D88:F88)=0,"",AVERAGE('Оценки'!D88:F88))</f>
        <v/>
      </c>
      <c r="F88" s="19">
        <f>IF(COUNT('Оценки'!G88:I88)=0,"",AVERAGE('Оценки'!G88:I88))</f>
        <v/>
      </c>
      <c r="G88" s="19">
        <f>IF('Оценки'!J88="","",'Оценки'!J88)</f>
        <v/>
      </c>
      <c r="H88" s="19">
        <f>IF(COUNT(D88:G88)=0,"",AVERAGE(D88:G88))</f>
        <v/>
      </c>
      <c r="I88" s="19">
        <f>IF(OR(C88="",H88=""),"",C88-H88)</f>
        <v/>
      </c>
      <c r="J88" s="18">
        <f>IF(I88="","",IF(I88&gt;=0.5,"⚠ переоценивает себя",IF(H88&lt;3,"низкий уровень","")))</f>
        <v/>
      </c>
    </row>
    <row r="89">
      <c r="A89" s="18" t="inlineStr">
        <is>
          <t>РП-3</t>
        </is>
      </c>
      <c r="B89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89" s="19">
        <f>IF('Оценки'!K89="","",'Оценки'!K89)</f>
        <v/>
      </c>
      <c r="D89" s="19">
        <f>IF('Оценки'!C89="","",'Оценки'!C89)</f>
        <v/>
      </c>
      <c r="E89" s="19">
        <f>IF(COUNT('Оценки'!D89:F89)=0,"",AVERAGE('Оценки'!D89:F89))</f>
        <v/>
      </c>
      <c r="F89" s="19">
        <f>IF(COUNT('Оценки'!G89:I89)=0,"",AVERAGE('Оценки'!G89:I89))</f>
        <v/>
      </c>
      <c r="G89" s="19">
        <f>IF('Оценки'!J89="","",'Оценки'!J89)</f>
        <v/>
      </c>
      <c r="H89" s="19">
        <f>IF(COUNT(D89:G89)=0,"",AVERAGE(D89:G89))</f>
        <v/>
      </c>
      <c r="I89" s="19">
        <f>IF(OR(C89="",H89=""),"",C89-H89)</f>
        <v/>
      </c>
      <c r="J89" s="18">
        <f>IF(I89="","",IF(I89&gt;=0.5,"⚠ переоценивает себя",IF(H89&lt;3,"низкий уровень","")))</f>
        <v/>
      </c>
    </row>
    <row r="90">
      <c r="A90" s="18" t="inlineStr">
        <is>
          <t>РП-3</t>
        </is>
      </c>
      <c r="B90" s="10" t="inlineStr">
        <is>
          <t>Выявление степени готовности предприятия к изменениям</t>
        </is>
      </c>
      <c r="C90" s="19">
        <f>IF('Оценки'!K90="","",'Оценки'!K90)</f>
        <v/>
      </c>
      <c r="D90" s="19">
        <f>IF('Оценки'!C90="","",'Оценки'!C90)</f>
        <v/>
      </c>
      <c r="E90" s="19">
        <f>IF(COUNT('Оценки'!D90:F90)=0,"",AVERAGE('Оценки'!D90:F90))</f>
        <v/>
      </c>
      <c r="F90" s="19">
        <f>IF(COUNT('Оценки'!G90:I90)=0,"",AVERAGE('Оценки'!G90:I90))</f>
        <v/>
      </c>
      <c r="G90" s="19">
        <f>IF('Оценки'!J90="","",'Оценки'!J90)</f>
        <v/>
      </c>
      <c r="H90" s="19">
        <f>IF(COUNT(D90:G90)=0,"",AVERAGE(D90:G90))</f>
        <v/>
      </c>
      <c r="I90" s="19">
        <f>IF(OR(C90="",H90=""),"",C90-H90)</f>
        <v/>
      </c>
      <c r="J90" s="18">
        <f>IF(I90="","",IF(I90&gt;=0.5,"⚠ переоценивает себя",IF(H90&lt;3,"низкий уровень","")))</f>
        <v/>
      </c>
    </row>
    <row r="91">
      <c r="A91" s="18" t="inlineStr">
        <is>
          <t>РП-3</t>
        </is>
      </c>
      <c r="B91" s="10" t="inlineStr">
        <is>
          <t>Составление плана ключевых событий</t>
        </is>
      </c>
      <c r="C91" s="19">
        <f>IF('Оценки'!K91="","",'Оценки'!K91)</f>
        <v/>
      </c>
      <c r="D91" s="19">
        <f>IF('Оценки'!C91="","",'Оценки'!C91)</f>
        <v/>
      </c>
      <c r="E91" s="19">
        <f>IF(COUNT('Оценки'!D91:F91)=0,"",AVERAGE('Оценки'!D91:F91))</f>
        <v/>
      </c>
      <c r="F91" s="19">
        <f>IF(COUNT('Оценки'!G91:I91)=0,"",AVERAGE('Оценки'!G91:I91))</f>
        <v/>
      </c>
      <c r="G91" s="19">
        <f>IF('Оценки'!J91="","",'Оценки'!J91)</f>
        <v/>
      </c>
      <c r="H91" s="19">
        <f>IF(COUNT(D91:G91)=0,"",AVERAGE(D91:G91))</f>
        <v/>
      </c>
      <c r="I91" s="19">
        <f>IF(OR(C91="",H91=""),"",C91-H91)</f>
        <v/>
      </c>
      <c r="J91" s="18">
        <f>IF(I91="","",IF(I91&gt;=0.5,"⚠ переоценивает себя",IF(H91&lt;3,"низкий уровень","")))</f>
        <v/>
      </c>
    </row>
    <row r="92">
      <c r="A92" s="18" t="inlineStr">
        <is>
          <t>РП-3</t>
        </is>
      </c>
      <c r="B92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92" s="19">
        <f>IF('Оценки'!K92="","",'Оценки'!K92)</f>
        <v/>
      </c>
      <c r="D92" s="19">
        <f>IF('Оценки'!C92="","",'Оценки'!C92)</f>
        <v/>
      </c>
      <c r="E92" s="19">
        <f>IF(COUNT('Оценки'!D92:F92)=0,"",AVERAGE('Оценки'!D92:F92))</f>
        <v/>
      </c>
      <c r="F92" s="19">
        <f>IF(COUNT('Оценки'!G92:I92)=0,"",AVERAGE('Оценки'!G92:I92))</f>
        <v/>
      </c>
      <c r="G92" s="19">
        <f>IF('Оценки'!J92="","",'Оценки'!J92)</f>
        <v/>
      </c>
      <c r="H92" s="19">
        <f>IF(COUNT(D92:G92)=0,"",AVERAGE(D92:G92))</f>
        <v/>
      </c>
      <c r="I92" s="19">
        <f>IF(OR(C92="",H92=""),"",C92-H92)</f>
        <v/>
      </c>
      <c r="J92" s="18">
        <f>IF(I92="","",IF(I92&gt;=0.5,"⚠ переоценивает себя",IF(H92&lt;3,"низкий уровень","")))</f>
        <v/>
      </c>
    </row>
    <row r="93">
      <c r="A93" s="18" t="inlineStr">
        <is>
          <t>РП-3</t>
        </is>
      </c>
      <c r="B93" s="10" t="inlineStr">
        <is>
          <t>Проведение анализа показателей проектов повышения производительности труда</t>
        </is>
      </c>
      <c r="C93" s="19">
        <f>IF('Оценки'!K93="","",'Оценки'!K93)</f>
        <v/>
      </c>
      <c r="D93" s="19">
        <f>IF('Оценки'!C93="","",'Оценки'!C93)</f>
        <v/>
      </c>
      <c r="E93" s="19">
        <f>IF(COUNT('Оценки'!D93:F93)=0,"",AVERAGE('Оценки'!D93:F93))</f>
        <v/>
      </c>
      <c r="F93" s="19">
        <f>IF(COUNT('Оценки'!G93:I93)=0,"",AVERAGE('Оценки'!G93:I93))</f>
        <v/>
      </c>
      <c r="G93" s="19">
        <f>IF('Оценки'!J93="","",'Оценки'!J93)</f>
        <v/>
      </c>
      <c r="H93" s="19">
        <f>IF(COUNT(D93:G93)=0,"",AVERAGE(D93:G93))</f>
        <v/>
      </c>
      <c r="I93" s="19">
        <f>IF(OR(C93="",H93=""),"",C93-H93)</f>
        <v/>
      </c>
      <c r="J93" s="18">
        <f>IF(I93="","",IF(I93&gt;=0.5,"⚠ переоценивает себя",IF(H93&lt;3,"низкий уровень","")))</f>
        <v/>
      </c>
    </row>
    <row r="94">
      <c r="A94" s="18" t="inlineStr">
        <is>
          <t>РП-3</t>
        </is>
      </c>
      <c r="B94" s="10" t="inlineStr">
        <is>
          <t>Создание карточки проекта</t>
        </is>
      </c>
      <c r="C94" s="19">
        <f>IF('Оценки'!K94="","",'Оценки'!K94)</f>
        <v/>
      </c>
      <c r="D94" s="19">
        <f>IF('Оценки'!C94="","",'Оценки'!C94)</f>
        <v/>
      </c>
      <c r="E94" s="19">
        <f>IF(COUNT('Оценки'!D94:F94)=0,"",AVERAGE('Оценки'!D94:F94))</f>
        <v/>
      </c>
      <c r="F94" s="19">
        <f>IF(COUNT('Оценки'!G94:I94)=0,"",AVERAGE('Оценки'!G94:I94))</f>
        <v/>
      </c>
      <c r="G94" s="19">
        <f>IF('Оценки'!J94="","",'Оценки'!J94)</f>
        <v/>
      </c>
      <c r="H94" s="19">
        <f>IF(COUNT(D94:G94)=0,"",AVERAGE(D94:G94))</f>
        <v/>
      </c>
      <c r="I94" s="19">
        <f>IF(OR(C94="",H94=""),"",C94-H94)</f>
        <v/>
      </c>
      <c r="J94" s="18">
        <f>IF(I94="","",IF(I94&gt;=0.5,"⚠ переоценивает себя",IF(H94&lt;3,"низкий уровень","")))</f>
        <v/>
      </c>
    </row>
    <row r="95">
      <c r="A95" s="18" t="inlineStr">
        <is>
          <t>РП-3</t>
        </is>
      </c>
      <c r="B95" s="10" t="inlineStr">
        <is>
          <t>Создание информационного центра проекта</t>
        </is>
      </c>
      <c r="C95" s="19">
        <f>IF('Оценки'!K95="","",'Оценки'!K95)</f>
        <v/>
      </c>
      <c r="D95" s="19">
        <f>IF('Оценки'!C95="","",'Оценки'!C95)</f>
        <v/>
      </c>
      <c r="E95" s="19">
        <f>IF(COUNT('Оценки'!D95:F95)=0,"",AVERAGE('Оценки'!D95:F95))</f>
        <v/>
      </c>
      <c r="F95" s="19">
        <f>IF(COUNT('Оценки'!G95:I95)=0,"",AVERAGE('Оценки'!G95:I95))</f>
        <v/>
      </c>
      <c r="G95" s="19">
        <f>IF('Оценки'!J95="","",'Оценки'!J95)</f>
        <v/>
      </c>
      <c r="H95" s="19">
        <f>IF(COUNT(D95:G95)=0,"",AVERAGE(D95:G95))</f>
        <v/>
      </c>
      <c r="I95" s="19">
        <f>IF(OR(C95="",H95=""),"",C95-H95)</f>
        <v/>
      </c>
      <c r="J95" s="18">
        <f>IF(I95="","",IF(I95&gt;=0.5,"⚠ переоценивает себя",IF(H95&lt;3,"низкий уровень","")))</f>
        <v/>
      </c>
    </row>
    <row r="96">
      <c r="A96" s="18" t="inlineStr">
        <is>
          <t>РП-3</t>
        </is>
      </c>
      <c r="B96" s="10" t="inlineStr">
        <is>
          <t>Создание эталонного участка</t>
        </is>
      </c>
      <c r="C96" s="19">
        <f>IF('Оценки'!K96="","",'Оценки'!K96)</f>
        <v/>
      </c>
      <c r="D96" s="19">
        <f>IF('Оценки'!C96="","",'Оценки'!C96)</f>
        <v/>
      </c>
      <c r="E96" s="19">
        <f>IF(COUNT('Оценки'!D96:F96)=0,"",AVERAGE('Оценки'!D96:F96))</f>
        <v/>
      </c>
      <c r="F96" s="19">
        <f>IF(COUNT('Оценки'!G96:I96)=0,"",AVERAGE('Оценки'!G96:I96))</f>
        <v/>
      </c>
      <c r="G96" s="19">
        <f>IF('Оценки'!J96="","",'Оценки'!J96)</f>
        <v/>
      </c>
      <c r="H96" s="19">
        <f>IF(COUNT(D96:G96)=0,"",AVERAGE(D96:G96))</f>
        <v/>
      </c>
      <c r="I96" s="19">
        <f>IF(OR(C96="",H96=""),"",C96-H96)</f>
        <v/>
      </c>
      <c r="J96" s="18">
        <f>IF(I96="","",IF(I96&gt;=0.5,"⚠ переоценивает себя",IF(H96&lt;3,"низкий уровень","")))</f>
        <v/>
      </c>
    </row>
    <row r="97">
      <c r="A97" s="18" t="inlineStr">
        <is>
          <t>РП-3</t>
        </is>
      </c>
      <c r="B97" s="10" t="inlineStr">
        <is>
          <t>Проведение оценки уровня развития производственной системы предприятия</t>
        </is>
      </c>
      <c r="C97" s="19">
        <f>IF('Оценки'!K97="","",'Оценки'!K97)</f>
        <v/>
      </c>
      <c r="D97" s="19">
        <f>IF('Оценки'!C97="","",'Оценки'!C97)</f>
        <v/>
      </c>
      <c r="E97" s="19">
        <f>IF(COUNT('Оценки'!D97:F97)=0,"",AVERAGE('Оценки'!D97:F97))</f>
        <v/>
      </c>
      <c r="F97" s="19">
        <f>IF(COUNT('Оценки'!G97:I97)=0,"",AVERAGE('Оценки'!G97:I97))</f>
        <v/>
      </c>
      <c r="G97" s="19">
        <f>IF('Оценки'!J97="","",'Оценки'!J97)</f>
        <v/>
      </c>
      <c r="H97" s="19">
        <f>IF(COUNT(D97:G97)=0,"",AVERAGE(D97:G97))</f>
        <v/>
      </c>
      <c r="I97" s="19">
        <f>IF(OR(C97="",H97=""),"",C97-H97)</f>
        <v/>
      </c>
      <c r="J97" s="18">
        <f>IF(I97="","",IF(I97&gt;=0.5,"⚠ переоценивает себя",IF(H97&lt;3,"низкий уровень","")))</f>
        <v/>
      </c>
    </row>
    <row r="98">
      <c r="A98" s="18" t="inlineStr">
        <is>
          <t>РП-3</t>
        </is>
      </c>
      <c r="B98" s="10" t="inlineStr">
        <is>
          <t>Внедрение информационных центров</t>
        </is>
      </c>
      <c r="C98" s="19">
        <f>IF('Оценки'!K98="","",'Оценки'!K98)</f>
        <v/>
      </c>
      <c r="D98" s="19">
        <f>IF('Оценки'!C98="","",'Оценки'!C98)</f>
        <v/>
      </c>
      <c r="E98" s="19">
        <f>IF(COUNT('Оценки'!D98:F98)=0,"",AVERAGE('Оценки'!D98:F98))</f>
        <v/>
      </c>
      <c r="F98" s="19">
        <f>IF(COUNT('Оценки'!G98:I98)=0,"",AVERAGE('Оценки'!G98:I98))</f>
        <v/>
      </c>
      <c r="G98" s="19">
        <f>IF('Оценки'!J98="","",'Оценки'!J98)</f>
        <v/>
      </c>
      <c r="H98" s="19">
        <f>IF(COUNT(D98:G98)=0,"",AVERAGE(D98:G98))</f>
        <v/>
      </c>
      <c r="I98" s="19">
        <f>IF(OR(C98="",H98=""),"",C98-H98)</f>
        <v/>
      </c>
      <c r="J98" s="18">
        <f>IF(I98="","",IF(I98&gt;=0.5,"⚠ переоценивает себя",IF(H98&lt;3,"низкий уровень","")))</f>
        <v/>
      </c>
    </row>
    <row r="99">
      <c r="A99" s="18" t="inlineStr">
        <is>
          <t>РП-3</t>
        </is>
      </c>
      <c r="B99" s="10" t="inlineStr">
        <is>
          <t>Подготовка к проведению тренингов</t>
        </is>
      </c>
      <c r="C99" s="19">
        <f>IF('Оценки'!K99="","",'Оценки'!K99)</f>
        <v/>
      </c>
      <c r="D99" s="19">
        <f>IF('Оценки'!C99="","",'Оценки'!C99)</f>
        <v/>
      </c>
      <c r="E99" s="19">
        <f>IF(COUNT('Оценки'!D99:F99)=0,"",AVERAGE('Оценки'!D99:F99))</f>
        <v/>
      </c>
      <c r="F99" s="19">
        <f>IF(COUNT('Оценки'!G99:I99)=0,"",AVERAGE('Оценки'!G99:I99))</f>
        <v/>
      </c>
      <c r="G99" s="19">
        <f>IF('Оценки'!J99="","",'Оценки'!J99)</f>
        <v/>
      </c>
      <c r="H99" s="19">
        <f>IF(COUNT(D99:G99)=0,"",AVERAGE(D99:G99))</f>
        <v/>
      </c>
      <c r="I99" s="19">
        <f>IF(OR(C99="",H99=""),"",C99-H99)</f>
        <v/>
      </c>
      <c r="J99" s="18">
        <f>IF(I99="","",IF(I99&gt;=0.5,"⚠ переоценивает себя",IF(H99&lt;3,"низкий уровень","")))</f>
        <v/>
      </c>
    </row>
    <row r="100">
      <c r="A100" s="18" t="inlineStr">
        <is>
          <t>РП-3</t>
        </is>
      </c>
      <c r="B100" s="10" t="inlineStr">
        <is>
          <t>Проведение тренингов по Бережливому производству</t>
        </is>
      </c>
      <c r="C100" s="19">
        <f>IF('Оценки'!K100="","",'Оценки'!K100)</f>
        <v/>
      </c>
      <c r="D100" s="19">
        <f>IF('Оценки'!C100="","",'Оценки'!C100)</f>
        <v/>
      </c>
      <c r="E100" s="19">
        <f>IF(COUNT('Оценки'!D100:F100)=0,"",AVERAGE('Оценки'!D100:F100))</f>
        <v/>
      </c>
      <c r="F100" s="19">
        <f>IF(COUNT('Оценки'!G100:I100)=0,"",AVERAGE('Оценки'!G100:I100))</f>
        <v/>
      </c>
      <c r="G100" s="19">
        <f>IF('Оценки'!J100="","",'Оценки'!J100)</f>
        <v/>
      </c>
      <c r="H100" s="19">
        <f>IF(COUNT(D100:G100)=0,"",AVERAGE(D100:G100))</f>
        <v/>
      </c>
      <c r="I100" s="19">
        <f>IF(OR(C100="",H100=""),"",C100-H100)</f>
        <v/>
      </c>
      <c r="J100" s="18">
        <f>IF(I100="","",IF(I100&gt;=0.5,"⚠ переоценивает себя",IF(H100&lt;3,"низкий уровень","")))</f>
        <v/>
      </c>
    </row>
    <row r="101">
      <c r="A101" s="18" t="inlineStr">
        <is>
          <t>РП-3</t>
        </is>
      </c>
      <c r="B101" s="10" t="inlineStr">
        <is>
          <t>Мониторинг проводимого обучения</t>
        </is>
      </c>
      <c r="C101" s="19">
        <f>IF('Оценки'!K101="","",'Оценки'!K101)</f>
        <v/>
      </c>
      <c r="D101" s="19">
        <f>IF('Оценки'!C101="","",'Оценки'!C101)</f>
        <v/>
      </c>
      <c r="E101" s="19">
        <f>IF(COUNT('Оценки'!D101:F101)=0,"",AVERAGE('Оценки'!D101:F101))</f>
        <v/>
      </c>
      <c r="F101" s="19">
        <f>IF(COUNT('Оценки'!G101:I101)=0,"",AVERAGE('Оценки'!G101:I101))</f>
        <v/>
      </c>
      <c r="G101" s="19">
        <f>IF('Оценки'!J101="","",'Оценки'!J101)</f>
        <v/>
      </c>
      <c r="H101" s="19">
        <f>IF(COUNT(D101:G101)=0,"",AVERAGE(D101:G101))</f>
        <v/>
      </c>
      <c r="I101" s="19">
        <f>IF(OR(C101="",H101=""),"",C101-H101)</f>
        <v/>
      </c>
      <c r="J101" s="18">
        <f>IF(I101="","",IF(I101&gt;=0.5,"⚠ переоценивает себя",IF(H101&lt;3,"низкий уровень","")))</f>
        <v/>
      </c>
    </row>
    <row r="102">
      <c r="A102" s="18" t="inlineStr">
        <is>
          <t>РП-3</t>
        </is>
      </c>
      <c r="B102" s="11" t="inlineStr">
        <is>
          <t>Картирование потоков и «Диаграмма спагетти»</t>
        </is>
      </c>
      <c r="C102" s="19">
        <f>IF('Оценки'!K102="","",'Оценки'!K102)</f>
        <v/>
      </c>
      <c r="D102" s="19">
        <f>IF('Оценки'!C102="","",'Оценки'!C102)</f>
        <v/>
      </c>
      <c r="E102" s="19">
        <f>IF(COUNT('Оценки'!D102:F102)=0,"",AVERAGE('Оценки'!D102:F102))</f>
        <v/>
      </c>
      <c r="F102" s="19">
        <f>IF(COUNT('Оценки'!G102:I102)=0,"",AVERAGE('Оценки'!G102:I102))</f>
        <v/>
      </c>
      <c r="G102" s="19">
        <f>IF('Оценки'!J102="","",'Оценки'!J102)</f>
        <v/>
      </c>
      <c r="H102" s="19">
        <f>IF(COUNT(D102:G102)=0,"",AVERAGE(D102:G102))</f>
        <v/>
      </c>
      <c r="I102" s="19">
        <f>IF(OR(C102="",H102=""),"",C102-H102)</f>
        <v/>
      </c>
      <c r="J102" s="18">
        <f>IF(I102="","",IF(I102&gt;=0.5,"⚠ переоценивает себя",IF(H102&lt;3,"низкий уровень","")))</f>
        <v/>
      </c>
    </row>
    <row r="103">
      <c r="A103" s="18" t="inlineStr">
        <is>
          <t>РП-3</t>
        </is>
      </c>
      <c r="B103" s="11" t="inlineStr">
        <is>
          <t>Производственный анализ</t>
        </is>
      </c>
      <c r="C103" s="19">
        <f>IF('Оценки'!K103="","",'Оценки'!K103)</f>
        <v/>
      </c>
      <c r="D103" s="19">
        <f>IF('Оценки'!C103="","",'Оценки'!C103)</f>
        <v/>
      </c>
      <c r="E103" s="19">
        <f>IF(COUNT('Оценки'!D103:F103)=0,"",AVERAGE('Оценки'!D103:F103))</f>
        <v/>
      </c>
      <c r="F103" s="19">
        <f>IF(COUNT('Оценки'!G103:I103)=0,"",AVERAGE('Оценки'!G103:I103))</f>
        <v/>
      </c>
      <c r="G103" s="19">
        <f>IF('Оценки'!J103="","",'Оценки'!J103)</f>
        <v/>
      </c>
      <c r="H103" s="19">
        <f>IF(COUNT(D103:G103)=0,"",AVERAGE(D103:G103))</f>
        <v/>
      </c>
      <c r="I103" s="19">
        <f>IF(OR(C103="",H103=""),"",C103-H103)</f>
        <v/>
      </c>
      <c r="J103" s="18">
        <f>IF(I103="","",IF(I103&gt;=0.5,"⚠ переоценивает себя",IF(H103&lt;3,"низкий уровень","")))</f>
        <v/>
      </c>
    </row>
    <row r="104">
      <c r="A104" s="18" t="inlineStr">
        <is>
          <t>РП-3</t>
        </is>
      </c>
      <c r="B104" s="11" t="inlineStr">
        <is>
          <t>Поток единичных изделий</t>
        </is>
      </c>
      <c r="C104" s="19">
        <f>IF('Оценки'!K104="","",'Оценки'!K104)</f>
        <v/>
      </c>
      <c r="D104" s="19">
        <f>IF('Оценки'!C104="","",'Оценки'!C104)</f>
        <v/>
      </c>
      <c r="E104" s="19">
        <f>IF(COUNT('Оценки'!D104:F104)=0,"",AVERAGE('Оценки'!D104:F104))</f>
        <v/>
      </c>
      <c r="F104" s="19">
        <f>IF(COUNT('Оценки'!G104:I104)=0,"",AVERAGE('Оценки'!G104:I104))</f>
        <v/>
      </c>
      <c r="G104" s="19">
        <f>IF('Оценки'!J104="","",'Оценки'!J104)</f>
        <v/>
      </c>
      <c r="H104" s="19">
        <f>IF(COUNT(D104:G104)=0,"",AVERAGE(D104:G104))</f>
        <v/>
      </c>
      <c r="I104" s="19">
        <f>IF(OR(C104="",H104=""),"",C104-H104)</f>
        <v/>
      </c>
      <c r="J104" s="18">
        <f>IF(I104="","",IF(I104&gt;=0.5,"⚠ переоценивает себя",IF(H104&lt;3,"низкий уровень","")))</f>
        <v/>
      </c>
    </row>
    <row r="105">
      <c r="A105" s="18" t="inlineStr">
        <is>
          <t>РП-3</t>
        </is>
      </c>
      <c r="B105" s="11" t="inlineStr">
        <is>
          <t>Система «Канбан»</t>
        </is>
      </c>
      <c r="C105" s="19">
        <f>IF('Оценки'!K105="","",'Оценки'!K105)</f>
        <v/>
      </c>
      <c r="D105" s="19">
        <f>IF('Оценки'!C105="","",'Оценки'!C105)</f>
        <v/>
      </c>
      <c r="E105" s="19">
        <f>IF(COUNT('Оценки'!D105:F105)=0,"",AVERAGE('Оценки'!D105:F105))</f>
        <v/>
      </c>
      <c r="F105" s="19">
        <f>IF(COUNT('Оценки'!G105:I105)=0,"",AVERAGE('Оценки'!G105:I105))</f>
        <v/>
      </c>
      <c r="G105" s="19">
        <f>IF('Оценки'!J105="","",'Оценки'!J105)</f>
        <v/>
      </c>
      <c r="H105" s="19">
        <f>IF(COUNT(D105:G105)=0,"",AVERAGE(D105:G105))</f>
        <v/>
      </c>
      <c r="I105" s="19">
        <f>IF(OR(C105="",H105=""),"",C105-H105)</f>
        <v/>
      </c>
      <c r="J105" s="18">
        <f>IF(I105="","",IF(I105&gt;=0.5,"⚠ переоценивает себя",IF(H105&lt;3,"низкий уровень","")))</f>
        <v/>
      </c>
    </row>
    <row r="106">
      <c r="A106" s="18" t="inlineStr">
        <is>
          <t>РП-3</t>
        </is>
      </c>
      <c r="B106" s="11" t="inlineStr">
        <is>
          <t>Стандартизированная работа</t>
        </is>
      </c>
      <c r="C106" s="19">
        <f>IF('Оценки'!K106="","",'Оценки'!K106)</f>
        <v/>
      </c>
      <c r="D106" s="19">
        <f>IF('Оценки'!C106="","",'Оценки'!C106)</f>
        <v/>
      </c>
      <c r="E106" s="19">
        <f>IF(COUNT('Оценки'!D106:F106)=0,"",AVERAGE('Оценки'!D106:F106))</f>
        <v/>
      </c>
      <c r="F106" s="19">
        <f>IF(COUNT('Оценки'!G106:I106)=0,"",AVERAGE('Оценки'!G106:I106))</f>
        <v/>
      </c>
      <c r="G106" s="19">
        <f>IF('Оценки'!J106="","",'Оценки'!J106)</f>
        <v/>
      </c>
      <c r="H106" s="19">
        <f>IF(COUNT(D106:G106)=0,"",AVERAGE(D106:G106))</f>
        <v/>
      </c>
      <c r="I106" s="19">
        <f>IF(OR(C106="",H106=""),"",C106-H106)</f>
        <v/>
      </c>
      <c r="J106" s="18">
        <f>IF(I106="","",IF(I106&gt;=0.5,"⚠ переоценивает себя",IF(H106&lt;3,"низкий уровень","")))</f>
        <v/>
      </c>
    </row>
    <row r="107">
      <c r="A107" s="18" t="inlineStr">
        <is>
          <t>РП-3</t>
        </is>
      </c>
      <c r="B107" s="11" t="inlineStr">
        <is>
          <t>Методы поиска первопричин и решения проблем</t>
        </is>
      </c>
      <c r="C107" s="19">
        <f>IF('Оценки'!K107="","",'Оценки'!K107)</f>
        <v/>
      </c>
      <c r="D107" s="19">
        <f>IF('Оценки'!C107="","",'Оценки'!C107)</f>
        <v/>
      </c>
      <c r="E107" s="19">
        <f>IF(COUNT('Оценки'!D107:F107)=0,"",AVERAGE('Оценки'!D107:F107))</f>
        <v/>
      </c>
      <c r="F107" s="19">
        <f>IF(COUNT('Оценки'!G107:I107)=0,"",AVERAGE('Оценки'!G107:I107))</f>
        <v/>
      </c>
      <c r="G107" s="19">
        <f>IF('Оценки'!J107="","",'Оценки'!J107)</f>
        <v/>
      </c>
      <c r="H107" s="19">
        <f>IF(COUNT(D107:G107)=0,"",AVERAGE(D107:G107))</f>
        <v/>
      </c>
      <c r="I107" s="19">
        <f>IF(OR(C107="",H107=""),"",C107-H107)</f>
        <v/>
      </c>
      <c r="J107" s="18">
        <f>IF(I107="","",IF(I107&gt;=0.5,"⚠ переоценивает себя",IF(H107&lt;3,"низкий уровень","")))</f>
        <v/>
      </c>
    </row>
    <row r="108">
      <c r="A108" s="18" t="inlineStr">
        <is>
          <t>РП-3</t>
        </is>
      </c>
      <c r="B108" s="11" t="inlineStr">
        <is>
          <t>Быстрая переналадка (SMED)</t>
        </is>
      </c>
      <c r="C108" s="19">
        <f>IF('Оценки'!K108="","",'Оценки'!K108)</f>
        <v/>
      </c>
      <c r="D108" s="19">
        <f>IF('Оценки'!C108="","",'Оценки'!C108)</f>
        <v/>
      </c>
      <c r="E108" s="19">
        <f>IF(COUNT('Оценки'!D108:F108)=0,"",AVERAGE('Оценки'!D108:F108))</f>
        <v/>
      </c>
      <c r="F108" s="19">
        <f>IF(COUNT('Оценки'!G108:I108)=0,"",AVERAGE('Оценки'!G108:I108))</f>
        <v/>
      </c>
      <c r="G108" s="19">
        <f>IF('Оценки'!J108="","",'Оценки'!J108)</f>
        <v/>
      </c>
      <c r="H108" s="19">
        <f>IF(COUNT(D108:G108)=0,"",AVERAGE(D108:G108))</f>
        <v/>
      </c>
      <c r="I108" s="19">
        <f>IF(OR(C108="",H108=""),"",C108-H108)</f>
        <v/>
      </c>
      <c r="J108" s="18">
        <f>IF(I108="","",IF(I108&gt;=0.5,"⚠ переоценивает себя",IF(H108&lt;3,"низкий уровень","")))</f>
        <v/>
      </c>
    </row>
    <row r="109">
      <c r="A109" s="18" t="inlineStr">
        <is>
          <t>РП-3</t>
        </is>
      </c>
      <c r="B109" s="11" t="inlineStr">
        <is>
          <t>«Poka-Yoke» (защита от ошибок)</t>
        </is>
      </c>
      <c r="C109" s="19">
        <f>IF('Оценки'!K109="","",'Оценки'!K109)</f>
        <v/>
      </c>
      <c r="D109" s="19">
        <f>IF('Оценки'!C109="","",'Оценки'!C109)</f>
        <v/>
      </c>
      <c r="E109" s="19">
        <f>IF(COUNT('Оценки'!D109:F109)=0,"",AVERAGE('Оценки'!D109:F109))</f>
        <v/>
      </c>
      <c r="F109" s="19">
        <f>IF(COUNT('Оценки'!G109:I109)=0,"",AVERAGE('Оценки'!G109:I109))</f>
        <v/>
      </c>
      <c r="G109" s="19">
        <f>IF('Оценки'!J109="","",'Оценки'!J109)</f>
        <v/>
      </c>
      <c r="H109" s="19">
        <f>IF(COUNT(D109:G109)=0,"",AVERAGE(D109:G109))</f>
        <v/>
      </c>
      <c r="I109" s="19">
        <f>IF(OR(C109="",H109=""),"",C109-H109)</f>
        <v/>
      </c>
      <c r="J109" s="18">
        <f>IF(I109="","",IF(I109&gt;=0.5,"⚠ переоценивает себя",IF(H109&lt;3,"низкий уровень","")))</f>
        <v/>
      </c>
    </row>
    <row r="110">
      <c r="A110" s="18" t="inlineStr">
        <is>
          <t>РП-3</t>
        </is>
      </c>
      <c r="B110" s="11" t="inlineStr">
        <is>
          <t>5С на производстве и в офисе</t>
        </is>
      </c>
      <c r="C110" s="19">
        <f>IF('Оценки'!K110="","",'Оценки'!K110)</f>
        <v/>
      </c>
      <c r="D110" s="19">
        <f>IF('Оценки'!C110="","",'Оценки'!C110)</f>
        <v/>
      </c>
      <c r="E110" s="19">
        <f>IF(COUNT('Оценки'!D110:F110)=0,"",AVERAGE('Оценки'!D110:F110))</f>
        <v/>
      </c>
      <c r="F110" s="19">
        <f>IF(COUNT('Оценки'!G110:I110)=0,"",AVERAGE('Оценки'!G110:I110))</f>
        <v/>
      </c>
      <c r="G110" s="19">
        <f>IF('Оценки'!J110="","",'Оценки'!J110)</f>
        <v/>
      </c>
      <c r="H110" s="19">
        <f>IF(COUNT(D110:G110)=0,"",AVERAGE(D110:G110))</f>
        <v/>
      </c>
      <c r="I110" s="19">
        <f>IF(OR(C110="",H110=""),"",C110-H110)</f>
        <v/>
      </c>
      <c r="J110" s="18">
        <f>IF(I110="","",IF(I110&gt;=0.5,"⚠ переоценивает себя",IF(H110&lt;3,"низкий уровень","")))</f>
        <v/>
      </c>
    </row>
    <row r="111">
      <c r="A111" s="18" t="inlineStr">
        <is>
          <t>РП-3</t>
        </is>
      </c>
      <c r="B111" s="11" t="inlineStr">
        <is>
          <t>ОЕЕ — анализ эффективности оборудования</t>
        </is>
      </c>
      <c r="C111" s="19">
        <f>IF('Оценки'!K111="","",'Оценки'!K111)</f>
        <v/>
      </c>
      <c r="D111" s="19">
        <f>IF('Оценки'!C111="","",'Оценки'!C111)</f>
        <v/>
      </c>
      <c r="E111" s="19">
        <f>IF(COUNT('Оценки'!D111:F111)=0,"",AVERAGE('Оценки'!D111:F111))</f>
        <v/>
      </c>
      <c r="F111" s="19">
        <f>IF(COUNT('Оценки'!G111:I111)=0,"",AVERAGE('Оценки'!G111:I111))</f>
        <v/>
      </c>
      <c r="G111" s="19">
        <f>IF('Оценки'!J111="","",'Оценки'!J111)</f>
        <v/>
      </c>
      <c r="H111" s="19">
        <f>IF(COUNT(D111:G111)=0,"",AVERAGE(D111:G111))</f>
        <v/>
      </c>
      <c r="I111" s="19">
        <f>IF(OR(C111="",H111=""),"",C111-H111)</f>
        <v/>
      </c>
      <c r="J111" s="18">
        <f>IF(I111="","",IF(I111&gt;=0.5,"⚠ переоценивает себя",IF(H111&lt;3,"низкий уровень","")))</f>
        <v/>
      </c>
    </row>
    <row r="112">
      <c r="A112" s="18" t="inlineStr">
        <is>
          <t>РП-3</t>
        </is>
      </c>
      <c r="B112" s="11" t="inlineStr">
        <is>
          <t>Автономное обслуживание оборудования</t>
        </is>
      </c>
      <c r="C112" s="19">
        <f>IF('Оценки'!K112="","",'Оценки'!K112)</f>
        <v/>
      </c>
      <c r="D112" s="19">
        <f>IF('Оценки'!C112="","",'Оценки'!C112)</f>
        <v/>
      </c>
      <c r="E112" s="19">
        <f>IF(COUNT('Оценки'!D112:F112)=0,"",AVERAGE('Оценки'!D112:F112))</f>
        <v/>
      </c>
      <c r="F112" s="19">
        <f>IF(COUNT('Оценки'!G112:I112)=0,"",AVERAGE('Оценки'!G112:I112))</f>
        <v/>
      </c>
      <c r="G112" s="19">
        <f>IF('Оценки'!J112="","",'Оценки'!J112)</f>
        <v/>
      </c>
      <c r="H112" s="19">
        <f>IF(COUNT(D112:G112)=0,"",AVERAGE(D112:G112))</f>
        <v/>
      </c>
      <c r="I112" s="19">
        <f>IF(OR(C112="",H112=""),"",C112-H112)</f>
        <v/>
      </c>
      <c r="J112" s="18">
        <f>IF(I112="","",IF(I112&gt;=0.5,"⚠ переоценивает себя",IF(H112&lt;3,"низкий уровень","")))</f>
        <v/>
      </c>
    </row>
    <row r="113">
      <c r="A113" s="18" t="inlineStr">
        <is>
          <t>РП-3</t>
        </is>
      </c>
      <c r="B113" s="11" t="inlineStr">
        <is>
          <t>Управление запасами</t>
        </is>
      </c>
      <c r="C113" s="19">
        <f>IF('Оценки'!K113="","",'Оценки'!K113)</f>
        <v/>
      </c>
      <c r="D113" s="19">
        <f>IF('Оценки'!C113="","",'Оценки'!C113)</f>
        <v/>
      </c>
      <c r="E113" s="19">
        <f>IF(COUNT('Оценки'!D113:F113)=0,"",AVERAGE('Оценки'!D113:F113))</f>
        <v/>
      </c>
      <c r="F113" s="19">
        <f>IF(COUNT('Оценки'!G113:I113)=0,"",AVERAGE('Оценки'!G113:I113))</f>
        <v/>
      </c>
      <c r="G113" s="19">
        <f>IF('Оценки'!J113="","",'Оценки'!J113)</f>
        <v/>
      </c>
      <c r="H113" s="19">
        <f>IF(COUNT(D113:G113)=0,"",AVERAGE(D113:G113))</f>
        <v/>
      </c>
      <c r="I113" s="19">
        <f>IF(OR(C113="",H113=""),"",C113-H113)</f>
        <v/>
      </c>
      <c r="J113" s="18">
        <f>IF(I113="","",IF(I113&gt;=0.5,"⚠ переоценивает себя",IF(H113&lt;3,"низкий уровень","")))</f>
        <v/>
      </c>
    </row>
    <row r="114">
      <c r="A114" s="18" t="inlineStr">
        <is>
          <t>РП-3</t>
        </is>
      </c>
      <c r="B114" s="12" t="inlineStr">
        <is>
          <t>Сбор и проверка данных от предприятий-участников, выработка корректирующих мероприятий</t>
        </is>
      </c>
      <c r="C114" s="19">
        <f>IF('Оценки'!K114="","",'Оценки'!K114)</f>
        <v/>
      </c>
      <c r="D114" s="19">
        <f>IF('Оценки'!C114="","",'Оценки'!C114)</f>
        <v/>
      </c>
      <c r="E114" s="19">
        <f>IF(COUNT('Оценки'!D114:F114)=0,"",AVERAGE('Оценки'!D114:F114))</f>
        <v/>
      </c>
      <c r="F114" s="19">
        <f>IF(COUNT('Оценки'!G114:I114)=0,"",AVERAGE('Оценки'!G114:I114))</f>
        <v/>
      </c>
      <c r="G114" s="19">
        <f>IF('Оценки'!J114="","",'Оценки'!J114)</f>
        <v/>
      </c>
      <c r="H114" s="19">
        <f>IF(COUNT(D114:G114)=0,"",AVERAGE(D114:G114))</f>
        <v/>
      </c>
      <c r="I114" s="19">
        <f>IF(OR(C114="",H114=""),"",C114-H114)</f>
        <v/>
      </c>
      <c r="J114" s="18">
        <f>IF(I114="","",IF(I114&gt;=0.5,"⚠ переоценивает себя",IF(H114&lt;3,"низкий уровень","")))</f>
        <v/>
      </c>
    </row>
    <row r="115">
      <c r="A115" s="18" t="inlineStr">
        <is>
          <t>РП-3</t>
        </is>
      </c>
      <c r="B115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115" s="19">
        <f>IF('Оценки'!K115="","",'Оценки'!K115)</f>
        <v/>
      </c>
      <c r="D115" s="19">
        <f>IF('Оценки'!C115="","",'Оценки'!C115)</f>
        <v/>
      </c>
      <c r="E115" s="19">
        <f>IF(COUNT('Оценки'!D115:F115)=0,"",AVERAGE('Оценки'!D115:F115))</f>
        <v/>
      </c>
      <c r="F115" s="19">
        <f>IF(COUNT('Оценки'!G115:I115)=0,"",AVERAGE('Оценки'!G115:I115))</f>
        <v/>
      </c>
      <c r="G115" s="19">
        <f>IF('Оценки'!J115="","",'Оценки'!J115)</f>
        <v/>
      </c>
      <c r="H115" s="19">
        <f>IF(COUNT(D115:G115)=0,"",AVERAGE(D115:G115))</f>
        <v/>
      </c>
      <c r="I115" s="19">
        <f>IF(OR(C115="",H115=""),"",C115-H115)</f>
        <v/>
      </c>
      <c r="J115" s="18">
        <f>IF(I115="","",IF(I115&gt;=0.5,"⚠ переоценивает себя",IF(H115&lt;3,"низкий уровень","")))</f>
        <v/>
      </c>
    </row>
    <row r="116">
      <c r="A116" s="18" t="inlineStr">
        <is>
          <t>РП-3</t>
        </is>
      </c>
      <c r="B116" s="12" t="inlineStr">
        <is>
          <t>Поиск и распространение лучших практик по производительности труда</t>
        </is>
      </c>
      <c r="C116" s="19">
        <f>IF('Оценки'!K116="","",'Оценки'!K116)</f>
        <v/>
      </c>
      <c r="D116" s="19">
        <f>IF('Оценки'!C116="","",'Оценки'!C116)</f>
        <v/>
      </c>
      <c r="E116" s="19">
        <f>IF(COUNT('Оценки'!D116:F116)=0,"",AVERAGE('Оценки'!D116:F116))</f>
        <v/>
      </c>
      <c r="F116" s="19">
        <f>IF(COUNT('Оценки'!G116:I116)=0,"",AVERAGE('Оценки'!G116:I116))</f>
        <v/>
      </c>
      <c r="G116" s="19">
        <f>IF('Оценки'!J116="","",'Оценки'!J116)</f>
        <v/>
      </c>
      <c r="H116" s="19">
        <f>IF(COUNT(D116:G116)=0,"",AVERAGE(D116:G116))</f>
        <v/>
      </c>
      <c r="I116" s="19">
        <f>IF(OR(C116="",H116=""),"",C116-H116)</f>
        <v/>
      </c>
      <c r="J116" s="18">
        <f>IF(I116="","",IF(I116&gt;=0.5,"⚠ переоценивает себя",IF(H116&lt;3,"низкий уровень","")))</f>
        <v/>
      </c>
    </row>
    <row r="117">
      <c r="A117" s="18" t="inlineStr">
        <is>
          <t>РП-3</t>
        </is>
      </c>
      <c r="B117" s="12" t="inlineStr">
        <is>
          <t>Организация работы с предложениями по улучшению (ППУ)</t>
        </is>
      </c>
      <c r="C117" s="19">
        <f>IF('Оценки'!K117="","",'Оценки'!K117)</f>
        <v/>
      </c>
      <c r="D117" s="19">
        <f>IF('Оценки'!C117="","",'Оценки'!C117)</f>
        <v/>
      </c>
      <c r="E117" s="19">
        <f>IF(COUNT('Оценки'!D117:F117)=0,"",AVERAGE('Оценки'!D117:F117))</f>
        <v/>
      </c>
      <c r="F117" s="19">
        <f>IF(COUNT('Оценки'!G117:I117)=0,"",AVERAGE('Оценки'!G117:I117))</f>
        <v/>
      </c>
      <c r="G117" s="19">
        <f>IF('Оценки'!J117="","",'Оценки'!J117)</f>
        <v/>
      </c>
      <c r="H117" s="19">
        <f>IF(COUNT(D117:G117)=0,"",AVERAGE(D117:G117))</f>
        <v/>
      </c>
      <c r="I117" s="19">
        <f>IF(OR(C117="",H117=""),"",C117-H117)</f>
        <v/>
      </c>
      <c r="J117" s="18">
        <f>IF(I117="","",IF(I117&gt;=0.5,"⚠ переоценивает себя",IF(H117&lt;3,"низкий уровень","")))</f>
        <v/>
      </c>
    </row>
    <row r="118">
      <c r="A118" s="18" t="inlineStr">
        <is>
          <t>РП-3</t>
        </is>
      </c>
      <c r="B118" s="12" t="inlineStr">
        <is>
          <t>Ведение мониторинга проектов в подсистеме «Совместная работа» на ИТ-платформе</t>
        </is>
      </c>
      <c r="C118" s="19">
        <f>IF('Оценки'!K118="","",'Оценки'!K118)</f>
        <v/>
      </c>
      <c r="D118" s="19">
        <f>IF('Оценки'!C118="","",'Оценки'!C118)</f>
        <v/>
      </c>
      <c r="E118" s="19">
        <f>IF(COUNT('Оценки'!D118:F118)=0,"",AVERAGE('Оценки'!D118:F118))</f>
        <v/>
      </c>
      <c r="F118" s="19">
        <f>IF(COUNT('Оценки'!G118:I118)=0,"",AVERAGE('Оценки'!G118:I118))</f>
        <v/>
      </c>
      <c r="G118" s="19">
        <f>IF('Оценки'!J118="","",'Оценки'!J118)</f>
        <v/>
      </c>
      <c r="H118" s="19">
        <f>IF(COUNT(D118:G118)=0,"",AVERAGE(D118:G118))</f>
        <v/>
      </c>
      <c r="I118" s="19">
        <f>IF(OR(C118="",H118=""),"",C118-H118)</f>
        <v/>
      </c>
      <c r="J118" s="18">
        <f>IF(I118="","",IF(I118&gt;=0.5,"⚠ переоценивает себя",IF(H118&lt;3,"низкий уровень","")))</f>
        <v/>
      </c>
    </row>
    <row r="119">
      <c r="A119" s="20" t="inlineStr">
        <is>
          <t>РП-3</t>
        </is>
      </c>
      <c r="B119" s="20" t="inlineStr">
        <is>
          <t>ИТОГО (среднее по всем компетенциям)</t>
        </is>
      </c>
      <c r="C119" s="21">
        <f>IF(COUNT(C82:C118)=0,"",AVERAGE(C82:C118))</f>
        <v/>
      </c>
      <c r="D119" s="21">
        <f>IF(COUNT(D82:D118)=0,"",AVERAGE(D82:D118))</f>
        <v/>
      </c>
      <c r="E119" s="21">
        <f>IF(COUNT(E82:E118)=0,"",AVERAGE(E82:E118))</f>
        <v/>
      </c>
      <c r="F119" s="21">
        <f>IF(COUNT(F82:F118)=0,"",AVERAGE(F82:F118))</f>
        <v/>
      </c>
      <c r="G119" s="21">
        <f>IF(COUNT(G82:G118)=0,"",AVERAGE(G82:G118))</f>
        <v/>
      </c>
      <c r="H119" s="21">
        <f>IF(COUNT(H82:H118)=0,"",AVERAGE(H82:H118))</f>
        <v/>
      </c>
      <c r="I119" s="21">
        <f>IF(OR(C119="",H119=""),"",C119-H119)</f>
        <v/>
      </c>
      <c r="J119" s="20">
        <f>IF(I119="","",IF(I119&gt;=0.5,"⚠ переоценивает себя",IF(H119&lt;3,"низкий уровень","")))</f>
        <v/>
      </c>
    </row>
    <row r="120">
      <c r="A120" s="18" t="n"/>
      <c r="B120" s="18" t="n"/>
      <c r="C120" s="19" t="n"/>
      <c r="D120" s="19" t="n"/>
      <c r="E120" s="19" t="n"/>
      <c r="F120" s="19" t="n"/>
      <c r="G120" s="19" t="n"/>
      <c r="H120" s="19" t="n"/>
      <c r="I120" s="19" t="n"/>
      <c r="J120" s="18" t="n"/>
    </row>
    <row r="121">
      <c r="A121" s="18" t="inlineStr">
        <is>
          <t>РП-4</t>
        </is>
      </c>
      <c r="B121" s="8" t="inlineStr">
        <is>
          <t>Проведение оценки на соответствие предприятия обязательным критериям</t>
        </is>
      </c>
      <c r="C121" s="19">
        <f>IF('Оценки'!K121="","",'Оценки'!K121)</f>
        <v/>
      </c>
      <c r="D121" s="19">
        <f>IF('Оценки'!C121="","",'Оценки'!C121)</f>
        <v/>
      </c>
      <c r="E121" s="19">
        <f>IF(COUNT('Оценки'!D121:F121)=0,"",AVERAGE('Оценки'!D121:F121))</f>
        <v/>
      </c>
      <c r="F121" s="19">
        <f>IF(COUNT('Оценки'!G121:I121)=0,"",AVERAGE('Оценки'!G121:I121))</f>
        <v/>
      </c>
      <c r="G121" s="19">
        <f>IF('Оценки'!J121="","",'Оценки'!J121)</f>
        <v/>
      </c>
      <c r="H121" s="19">
        <f>IF(COUNT(D121:G121)=0,"",AVERAGE(D121:G121))</f>
        <v/>
      </c>
      <c r="I121" s="19">
        <f>IF(OR(C121="",H121=""),"",C121-H121)</f>
        <v/>
      </c>
      <c r="J121" s="18">
        <f>IF(I121="","",IF(I121&gt;=0.5,"⚠ переоценивает себя",IF(H121&lt;3,"низкий уровень","")))</f>
        <v/>
      </c>
    </row>
    <row r="122">
      <c r="A122" s="18" t="inlineStr">
        <is>
          <t>РП-4</t>
        </is>
      </c>
      <c r="B122" s="8" t="inlineStr">
        <is>
          <t>Проведение оценки готовности руководства предприятия к участию в проекте (интервью)</t>
        </is>
      </c>
      <c r="C122" s="19">
        <f>IF('Оценки'!K122="","",'Оценки'!K122)</f>
        <v/>
      </c>
      <c r="D122" s="19">
        <f>IF('Оценки'!C122="","",'Оценки'!C122)</f>
        <v/>
      </c>
      <c r="E122" s="19">
        <f>IF(COUNT('Оценки'!D122:F122)=0,"",AVERAGE('Оценки'!D122:F122))</f>
        <v/>
      </c>
      <c r="F122" s="19">
        <f>IF(COUNT('Оценки'!G122:I122)=0,"",AVERAGE('Оценки'!G122:I122))</f>
        <v/>
      </c>
      <c r="G122" s="19">
        <f>IF('Оценки'!J122="","",'Оценки'!J122)</f>
        <v/>
      </c>
      <c r="H122" s="19">
        <f>IF(COUNT(D122:G122)=0,"",AVERAGE(D122:G122))</f>
        <v/>
      </c>
      <c r="I122" s="19">
        <f>IF(OR(C122="",H122=""),"",C122-H122)</f>
        <v/>
      </c>
      <c r="J122" s="18">
        <f>IF(I122="","",IF(I122&gt;=0.5,"⚠ переоценивает себя",IF(H122&lt;3,"низкий уровень","")))</f>
        <v/>
      </c>
    </row>
    <row r="123">
      <c r="A123" s="18" t="inlineStr">
        <is>
          <t>РП-4</t>
        </is>
      </c>
      <c r="B123" s="8" t="inlineStr">
        <is>
          <t>Проведение визуальной оценки производственного процесса на предприятии (визит на площадку)</t>
        </is>
      </c>
      <c r="C123" s="19">
        <f>IF('Оценки'!K123="","",'Оценки'!K123)</f>
        <v/>
      </c>
      <c r="D123" s="19">
        <f>IF('Оценки'!C123="","",'Оценки'!C123)</f>
        <v/>
      </c>
      <c r="E123" s="19">
        <f>IF(COUNT('Оценки'!D123:F123)=0,"",AVERAGE('Оценки'!D123:F123))</f>
        <v/>
      </c>
      <c r="F123" s="19">
        <f>IF(COUNT('Оценки'!G123:I123)=0,"",AVERAGE('Оценки'!G123:I123))</f>
        <v/>
      </c>
      <c r="G123" s="19">
        <f>IF('Оценки'!J123="","",'Оценки'!J123)</f>
        <v/>
      </c>
      <c r="H123" s="19">
        <f>IF(COUNT(D123:G123)=0,"",AVERAGE(D123:G123))</f>
        <v/>
      </c>
      <c r="I123" s="19">
        <f>IF(OR(C123="",H123=""),"",C123-H123)</f>
        <v/>
      </c>
      <c r="J123" s="18">
        <f>IF(I123="","",IF(I123&gt;=0.5,"⚠ переоценивает себя",IF(H123&lt;3,"низкий уровень","")))</f>
        <v/>
      </c>
    </row>
    <row r="124">
      <c r="A124" s="18" t="inlineStr">
        <is>
          <t>РП-4</t>
        </is>
      </c>
      <c r="B124" s="8" t="inlineStr">
        <is>
          <t>Вовлечение руководства предприятий в федеральный проект</t>
        </is>
      </c>
      <c r="C124" s="19">
        <f>IF('Оценки'!K124="","",'Оценки'!K124)</f>
        <v/>
      </c>
      <c r="D124" s="19">
        <f>IF('Оценки'!C124="","",'Оценки'!C124)</f>
        <v/>
      </c>
      <c r="E124" s="19">
        <f>IF(COUNT('Оценки'!D124:F124)=0,"",AVERAGE('Оценки'!D124:F124))</f>
        <v/>
      </c>
      <c r="F124" s="19">
        <f>IF(COUNT('Оценки'!G124:I124)=0,"",AVERAGE('Оценки'!G124:I124))</f>
        <v/>
      </c>
      <c r="G124" s="19">
        <f>IF('Оценки'!J124="","",'Оценки'!J124)</f>
        <v/>
      </c>
      <c r="H124" s="19">
        <f>IF(COUNT(D124:G124)=0,"",AVERAGE(D124:G124))</f>
        <v/>
      </c>
      <c r="I124" s="19">
        <f>IF(OR(C124="",H124=""),"",C124-H124)</f>
        <v/>
      </c>
      <c r="J124" s="18">
        <f>IF(I124="","",IF(I124&gt;=0.5,"⚠ переоценивает себя",IF(H124&lt;3,"низкий уровень","")))</f>
        <v/>
      </c>
    </row>
    <row r="125">
      <c r="A125" s="18" t="inlineStr">
        <is>
          <t>РП-4</t>
        </is>
      </c>
      <c r="B125" s="8" t="inlineStr">
        <is>
          <t>Подписание соглашения о сотрудничестве между РЦК и предприятием</t>
        </is>
      </c>
      <c r="C125" s="19">
        <f>IF('Оценки'!K125="","",'Оценки'!K125)</f>
        <v/>
      </c>
      <c r="D125" s="19">
        <f>IF('Оценки'!C125="","",'Оценки'!C125)</f>
        <v/>
      </c>
      <c r="E125" s="19">
        <f>IF(COUNT('Оценки'!D125:F125)=0,"",AVERAGE('Оценки'!D125:F125))</f>
        <v/>
      </c>
      <c r="F125" s="19">
        <f>IF(COUNT('Оценки'!G125:I125)=0,"",AVERAGE('Оценки'!G125:I125))</f>
        <v/>
      </c>
      <c r="G125" s="19">
        <f>IF('Оценки'!J125="","",'Оценки'!J125)</f>
        <v/>
      </c>
      <c r="H125" s="19">
        <f>IF(COUNT(D125:G125)=0,"",AVERAGE(D125:G125))</f>
        <v/>
      </c>
      <c r="I125" s="19">
        <f>IF(OR(C125="",H125=""),"",C125-H125)</f>
        <v/>
      </c>
      <c r="J125" s="18">
        <f>IF(I125="","",IF(I125&gt;=0.5,"⚠ переоценивает себя",IF(H125&lt;3,"низкий уровень","")))</f>
        <v/>
      </c>
    </row>
    <row r="126">
      <c r="A126" s="18" t="inlineStr">
        <is>
          <t>РП-4</t>
        </is>
      </c>
      <c r="B126" s="10" t="inlineStr">
        <is>
          <t>Реализация организационных вех программы</t>
        </is>
      </c>
      <c r="C126" s="19">
        <f>IF('Оценки'!K126="","",'Оценки'!K126)</f>
        <v/>
      </c>
      <c r="D126" s="19">
        <f>IF('Оценки'!C126="","",'Оценки'!C126)</f>
        <v/>
      </c>
      <c r="E126" s="19">
        <f>IF(COUNT('Оценки'!D126:F126)=0,"",AVERAGE('Оценки'!D126:F126))</f>
        <v/>
      </c>
      <c r="F126" s="19">
        <f>IF(COUNT('Оценки'!G126:I126)=0,"",AVERAGE('Оценки'!G126:I126))</f>
        <v/>
      </c>
      <c r="G126" s="19">
        <f>IF('Оценки'!J126="","",'Оценки'!J126)</f>
        <v/>
      </c>
      <c r="H126" s="19">
        <f>IF(COUNT(D126:G126)=0,"",AVERAGE(D126:G126))</f>
        <v/>
      </c>
      <c r="I126" s="19">
        <f>IF(OR(C126="",H126=""),"",C126-H126)</f>
        <v/>
      </c>
      <c r="J126" s="18">
        <f>IF(I126="","",IF(I126&gt;=0.5,"⚠ переоценивает себя",IF(H126&lt;3,"низкий уровень","")))</f>
        <v/>
      </c>
    </row>
    <row r="127">
      <c r="A127" s="18" t="inlineStr">
        <is>
          <t>РП-4</t>
        </is>
      </c>
      <c r="B127" s="10" t="inlineStr">
        <is>
          <t>Формирование проектного офиса</t>
        </is>
      </c>
      <c r="C127" s="19">
        <f>IF('Оценки'!K127="","",'Оценки'!K127)</f>
        <v/>
      </c>
      <c r="D127" s="19">
        <f>IF('Оценки'!C127="","",'Оценки'!C127)</f>
        <v/>
      </c>
      <c r="E127" s="19">
        <f>IF(COUNT('Оценки'!D127:F127)=0,"",AVERAGE('Оценки'!D127:F127))</f>
        <v/>
      </c>
      <c r="F127" s="19">
        <f>IF(COUNT('Оценки'!G127:I127)=0,"",AVERAGE('Оценки'!G127:I127))</f>
        <v/>
      </c>
      <c r="G127" s="19">
        <f>IF('Оценки'!J127="","",'Оценки'!J127)</f>
        <v/>
      </c>
      <c r="H127" s="19">
        <f>IF(COUNT(D127:G127)=0,"",AVERAGE(D127:G127))</f>
        <v/>
      </c>
      <c r="I127" s="19">
        <f>IF(OR(C127="",H127=""),"",C127-H127)</f>
        <v/>
      </c>
      <c r="J127" s="18">
        <f>IF(I127="","",IF(I127&gt;=0.5,"⚠ переоценивает себя",IF(H127&lt;3,"низкий уровень","")))</f>
        <v/>
      </c>
    </row>
    <row r="128">
      <c r="A128" s="18" t="inlineStr">
        <is>
          <t>РП-4</t>
        </is>
      </c>
      <c r="B128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128" s="19">
        <f>IF('Оценки'!K128="","",'Оценки'!K128)</f>
        <v/>
      </c>
      <c r="D128" s="19">
        <f>IF('Оценки'!C128="","",'Оценки'!C128)</f>
        <v/>
      </c>
      <c r="E128" s="19">
        <f>IF(COUNT('Оценки'!D128:F128)=0,"",AVERAGE('Оценки'!D128:F128))</f>
        <v/>
      </c>
      <c r="F128" s="19">
        <f>IF(COUNT('Оценки'!G128:I128)=0,"",AVERAGE('Оценки'!G128:I128))</f>
        <v/>
      </c>
      <c r="G128" s="19">
        <f>IF('Оценки'!J128="","",'Оценки'!J128)</f>
        <v/>
      </c>
      <c r="H128" s="19">
        <f>IF(COUNT(D128:G128)=0,"",AVERAGE(D128:G128))</f>
        <v/>
      </c>
      <c r="I128" s="19">
        <f>IF(OR(C128="",H128=""),"",C128-H128)</f>
        <v/>
      </c>
      <c r="J128" s="18">
        <f>IF(I128="","",IF(I128&gt;=0.5,"⚠ переоценивает себя",IF(H128&lt;3,"низкий уровень","")))</f>
        <v/>
      </c>
    </row>
    <row r="129">
      <c r="A129" s="18" t="inlineStr">
        <is>
          <t>РП-4</t>
        </is>
      </c>
      <c r="B129" s="10" t="inlineStr">
        <is>
          <t>Выявление степени готовности предприятия к изменениям</t>
        </is>
      </c>
      <c r="C129" s="19">
        <f>IF('Оценки'!K129="","",'Оценки'!K129)</f>
        <v/>
      </c>
      <c r="D129" s="19">
        <f>IF('Оценки'!C129="","",'Оценки'!C129)</f>
        <v/>
      </c>
      <c r="E129" s="19">
        <f>IF(COUNT('Оценки'!D129:F129)=0,"",AVERAGE('Оценки'!D129:F129))</f>
        <v/>
      </c>
      <c r="F129" s="19">
        <f>IF(COUNT('Оценки'!G129:I129)=0,"",AVERAGE('Оценки'!G129:I129))</f>
        <v/>
      </c>
      <c r="G129" s="19">
        <f>IF('Оценки'!J129="","",'Оценки'!J129)</f>
        <v/>
      </c>
      <c r="H129" s="19">
        <f>IF(COUNT(D129:G129)=0,"",AVERAGE(D129:G129))</f>
        <v/>
      </c>
      <c r="I129" s="19">
        <f>IF(OR(C129="",H129=""),"",C129-H129)</f>
        <v/>
      </c>
      <c r="J129" s="18">
        <f>IF(I129="","",IF(I129&gt;=0.5,"⚠ переоценивает себя",IF(H129&lt;3,"низкий уровень","")))</f>
        <v/>
      </c>
    </row>
    <row r="130">
      <c r="A130" s="18" t="inlineStr">
        <is>
          <t>РП-4</t>
        </is>
      </c>
      <c r="B130" s="10" t="inlineStr">
        <is>
          <t>Составление плана ключевых событий</t>
        </is>
      </c>
      <c r="C130" s="19">
        <f>IF('Оценки'!K130="","",'Оценки'!K130)</f>
        <v/>
      </c>
      <c r="D130" s="19">
        <f>IF('Оценки'!C130="","",'Оценки'!C130)</f>
        <v/>
      </c>
      <c r="E130" s="19">
        <f>IF(COUNT('Оценки'!D130:F130)=0,"",AVERAGE('Оценки'!D130:F130))</f>
        <v/>
      </c>
      <c r="F130" s="19">
        <f>IF(COUNT('Оценки'!G130:I130)=0,"",AVERAGE('Оценки'!G130:I130))</f>
        <v/>
      </c>
      <c r="G130" s="19">
        <f>IF('Оценки'!J130="","",'Оценки'!J130)</f>
        <v/>
      </c>
      <c r="H130" s="19">
        <f>IF(COUNT(D130:G130)=0,"",AVERAGE(D130:G130))</f>
        <v/>
      </c>
      <c r="I130" s="19">
        <f>IF(OR(C130="",H130=""),"",C130-H130)</f>
        <v/>
      </c>
      <c r="J130" s="18">
        <f>IF(I130="","",IF(I130&gt;=0.5,"⚠ переоценивает себя",IF(H130&lt;3,"низкий уровень","")))</f>
        <v/>
      </c>
    </row>
    <row r="131">
      <c r="A131" s="18" t="inlineStr">
        <is>
          <t>РП-4</t>
        </is>
      </c>
      <c r="B131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131" s="19">
        <f>IF('Оценки'!K131="","",'Оценки'!K131)</f>
        <v/>
      </c>
      <c r="D131" s="19">
        <f>IF('Оценки'!C131="","",'Оценки'!C131)</f>
        <v/>
      </c>
      <c r="E131" s="19">
        <f>IF(COUNT('Оценки'!D131:F131)=0,"",AVERAGE('Оценки'!D131:F131))</f>
        <v/>
      </c>
      <c r="F131" s="19">
        <f>IF(COUNT('Оценки'!G131:I131)=0,"",AVERAGE('Оценки'!G131:I131))</f>
        <v/>
      </c>
      <c r="G131" s="19">
        <f>IF('Оценки'!J131="","",'Оценки'!J131)</f>
        <v/>
      </c>
      <c r="H131" s="19">
        <f>IF(COUNT(D131:G131)=0,"",AVERAGE(D131:G131))</f>
        <v/>
      </c>
      <c r="I131" s="19">
        <f>IF(OR(C131="",H131=""),"",C131-H131)</f>
        <v/>
      </c>
      <c r="J131" s="18">
        <f>IF(I131="","",IF(I131&gt;=0.5,"⚠ переоценивает себя",IF(H131&lt;3,"низкий уровень","")))</f>
        <v/>
      </c>
    </row>
    <row r="132">
      <c r="A132" s="18" t="inlineStr">
        <is>
          <t>РП-4</t>
        </is>
      </c>
      <c r="B132" s="10" t="inlineStr">
        <is>
          <t>Проведение анализа показателей проектов повышения производительности труда</t>
        </is>
      </c>
      <c r="C132" s="19">
        <f>IF('Оценки'!K132="","",'Оценки'!K132)</f>
        <v/>
      </c>
      <c r="D132" s="19">
        <f>IF('Оценки'!C132="","",'Оценки'!C132)</f>
        <v/>
      </c>
      <c r="E132" s="19">
        <f>IF(COUNT('Оценки'!D132:F132)=0,"",AVERAGE('Оценки'!D132:F132))</f>
        <v/>
      </c>
      <c r="F132" s="19">
        <f>IF(COUNT('Оценки'!G132:I132)=0,"",AVERAGE('Оценки'!G132:I132))</f>
        <v/>
      </c>
      <c r="G132" s="19">
        <f>IF('Оценки'!J132="","",'Оценки'!J132)</f>
        <v/>
      </c>
      <c r="H132" s="19">
        <f>IF(COUNT(D132:G132)=0,"",AVERAGE(D132:G132))</f>
        <v/>
      </c>
      <c r="I132" s="19">
        <f>IF(OR(C132="",H132=""),"",C132-H132)</f>
        <v/>
      </c>
      <c r="J132" s="18">
        <f>IF(I132="","",IF(I132&gt;=0.5,"⚠ переоценивает себя",IF(H132&lt;3,"низкий уровень","")))</f>
        <v/>
      </c>
    </row>
    <row r="133">
      <c r="A133" s="18" t="inlineStr">
        <is>
          <t>РП-4</t>
        </is>
      </c>
      <c r="B133" s="10" t="inlineStr">
        <is>
          <t>Создание карточки проекта</t>
        </is>
      </c>
      <c r="C133" s="19">
        <f>IF('Оценки'!K133="","",'Оценки'!K133)</f>
        <v/>
      </c>
      <c r="D133" s="19">
        <f>IF('Оценки'!C133="","",'Оценки'!C133)</f>
        <v/>
      </c>
      <c r="E133" s="19">
        <f>IF(COUNT('Оценки'!D133:F133)=0,"",AVERAGE('Оценки'!D133:F133))</f>
        <v/>
      </c>
      <c r="F133" s="19">
        <f>IF(COUNT('Оценки'!G133:I133)=0,"",AVERAGE('Оценки'!G133:I133))</f>
        <v/>
      </c>
      <c r="G133" s="19">
        <f>IF('Оценки'!J133="","",'Оценки'!J133)</f>
        <v/>
      </c>
      <c r="H133" s="19">
        <f>IF(COUNT(D133:G133)=0,"",AVERAGE(D133:G133))</f>
        <v/>
      </c>
      <c r="I133" s="19">
        <f>IF(OR(C133="",H133=""),"",C133-H133)</f>
        <v/>
      </c>
      <c r="J133" s="18">
        <f>IF(I133="","",IF(I133&gt;=0.5,"⚠ переоценивает себя",IF(H133&lt;3,"низкий уровень","")))</f>
        <v/>
      </c>
    </row>
    <row r="134">
      <c r="A134" s="18" t="inlineStr">
        <is>
          <t>РП-4</t>
        </is>
      </c>
      <c r="B134" s="10" t="inlineStr">
        <is>
          <t>Создание информационного центра проекта</t>
        </is>
      </c>
      <c r="C134" s="19">
        <f>IF('Оценки'!K134="","",'Оценки'!K134)</f>
        <v/>
      </c>
      <c r="D134" s="19">
        <f>IF('Оценки'!C134="","",'Оценки'!C134)</f>
        <v/>
      </c>
      <c r="E134" s="19">
        <f>IF(COUNT('Оценки'!D134:F134)=0,"",AVERAGE('Оценки'!D134:F134))</f>
        <v/>
      </c>
      <c r="F134" s="19">
        <f>IF(COUNT('Оценки'!G134:I134)=0,"",AVERAGE('Оценки'!G134:I134))</f>
        <v/>
      </c>
      <c r="G134" s="19">
        <f>IF('Оценки'!J134="","",'Оценки'!J134)</f>
        <v/>
      </c>
      <c r="H134" s="19">
        <f>IF(COUNT(D134:G134)=0,"",AVERAGE(D134:G134))</f>
        <v/>
      </c>
      <c r="I134" s="19">
        <f>IF(OR(C134="",H134=""),"",C134-H134)</f>
        <v/>
      </c>
      <c r="J134" s="18">
        <f>IF(I134="","",IF(I134&gt;=0.5,"⚠ переоценивает себя",IF(H134&lt;3,"низкий уровень","")))</f>
        <v/>
      </c>
    </row>
    <row r="135">
      <c r="A135" s="18" t="inlineStr">
        <is>
          <t>РП-4</t>
        </is>
      </c>
      <c r="B135" s="10" t="inlineStr">
        <is>
          <t>Создание эталонного участка</t>
        </is>
      </c>
      <c r="C135" s="19">
        <f>IF('Оценки'!K135="","",'Оценки'!K135)</f>
        <v/>
      </c>
      <c r="D135" s="19">
        <f>IF('Оценки'!C135="","",'Оценки'!C135)</f>
        <v/>
      </c>
      <c r="E135" s="19">
        <f>IF(COUNT('Оценки'!D135:F135)=0,"",AVERAGE('Оценки'!D135:F135))</f>
        <v/>
      </c>
      <c r="F135" s="19">
        <f>IF(COUNT('Оценки'!G135:I135)=0,"",AVERAGE('Оценки'!G135:I135))</f>
        <v/>
      </c>
      <c r="G135" s="19">
        <f>IF('Оценки'!J135="","",'Оценки'!J135)</f>
        <v/>
      </c>
      <c r="H135" s="19">
        <f>IF(COUNT(D135:G135)=0,"",AVERAGE(D135:G135))</f>
        <v/>
      </c>
      <c r="I135" s="19">
        <f>IF(OR(C135="",H135=""),"",C135-H135)</f>
        <v/>
      </c>
      <c r="J135" s="18">
        <f>IF(I135="","",IF(I135&gt;=0.5,"⚠ переоценивает себя",IF(H135&lt;3,"низкий уровень","")))</f>
        <v/>
      </c>
    </row>
    <row r="136">
      <c r="A136" s="18" t="inlineStr">
        <is>
          <t>РП-4</t>
        </is>
      </c>
      <c r="B136" s="10" t="inlineStr">
        <is>
          <t>Проведение оценки уровня развития производственной системы предприятия</t>
        </is>
      </c>
      <c r="C136" s="19">
        <f>IF('Оценки'!K136="","",'Оценки'!K136)</f>
        <v/>
      </c>
      <c r="D136" s="19">
        <f>IF('Оценки'!C136="","",'Оценки'!C136)</f>
        <v/>
      </c>
      <c r="E136" s="19">
        <f>IF(COUNT('Оценки'!D136:F136)=0,"",AVERAGE('Оценки'!D136:F136))</f>
        <v/>
      </c>
      <c r="F136" s="19">
        <f>IF(COUNT('Оценки'!G136:I136)=0,"",AVERAGE('Оценки'!G136:I136))</f>
        <v/>
      </c>
      <c r="G136" s="19">
        <f>IF('Оценки'!J136="","",'Оценки'!J136)</f>
        <v/>
      </c>
      <c r="H136" s="19">
        <f>IF(COUNT(D136:G136)=0,"",AVERAGE(D136:G136))</f>
        <v/>
      </c>
      <c r="I136" s="19">
        <f>IF(OR(C136="",H136=""),"",C136-H136)</f>
        <v/>
      </c>
      <c r="J136" s="18">
        <f>IF(I136="","",IF(I136&gt;=0.5,"⚠ переоценивает себя",IF(H136&lt;3,"низкий уровень","")))</f>
        <v/>
      </c>
    </row>
    <row r="137">
      <c r="A137" s="18" t="inlineStr">
        <is>
          <t>РП-4</t>
        </is>
      </c>
      <c r="B137" s="10" t="inlineStr">
        <is>
          <t>Внедрение информационных центров</t>
        </is>
      </c>
      <c r="C137" s="19">
        <f>IF('Оценки'!K137="","",'Оценки'!K137)</f>
        <v/>
      </c>
      <c r="D137" s="19">
        <f>IF('Оценки'!C137="","",'Оценки'!C137)</f>
        <v/>
      </c>
      <c r="E137" s="19">
        <f>IF(COUNT('Оценки'!D137:F137)=0,"",AVERAGE('Оценки'!D137:F137))</f>
        <v/>
      </c>
      <c r="F137" s="19">
        <f>IF(COUNT('Оценки'!G137:I137)=0,"",AVERAGE('Оценки'!G137:I137))</f>
        <v/>
      </c>
      <c r="G137" s="19">
        <f>IF('Оценки'!J137="","",'Оценки'!J137)</f>
        <v/>
      </c>
      <c r="H137" s="19">
        <f>IF(COUNT(D137:G137)=0,"",AVERAGE(D137:G137))</f>
        <v/>
      </c>
      <c r="I137" s="19">
        <f>IF(OR(C137="",H137=""),"",C137-H137)</f>
        <v/>
      </c>
      <c r="J137" s="18">
        <f>IF(I137="","",IF(I137&gt;=0.5,"⚠ переоценивает себя",IF(H137&lt;3,"низкий уровень","")))</f>
        <v/>
      </c>
    </row>
    <row r="138">
      <c r="A138" s="18" t="inlineStr">
        <is>
          <t>РП-4</t>
        </is>
      </c>
      <c r="B138" s="10" t="inlineStr">
        <is>
          <t>Подготовка к проведению тренингов</t>
        </is>
      </c>
      <c r="C138" s="19">
        <f>IF('Оценки'!K138="","",'Оценки'!K138)</f>
        <v/>
      </c>
      <c r="D138" s="19">
        <f>IF('Оценки'!C138="","",'Оценки'!C138)</f>
        <v/>
      </c>
      <c r="E138" s="19">
        <f>IF(COUNT('Оценки'!D138:F138)=0,"",AVERAGE('Оценки'!D138:F138))</f>
        <v/>
      </c>
      <c r="F138" s="19">
        <f>IF(COUNT('Оценки'!G138:I138)=0,"",AVERAGE('Оценки'!G138:I138))</f>
        <v/>
      </c>
      <c r="G138" s="19">
        <f>IF('Оценки'!J138="","",'Оценки'!J138)</f>
        <v/>
      </c>
      <c r="H138" s="19">
        <f>IF(COUNT(D138:G138)=0,"",AVERAGE(D138:G138))</f>
        <v/>
      </c>
      <c r="I138" s="19">
        <f>IF(OR(C138="",H138=""),"",C138-H138)</f>
        <v/>
      </c>
      <c r="J138" s="18">
        <f>IF(I138="","",IF(I138&gt;=0.5,"⚠ переоценивает себя",IF(H138&lt;3,"низкий уровень","")))</f>
        <v/>
      </c>
    </row>
    <row r="139">
      <c r="A139" s="18" t="inlineStr">
        <is>
          <t>РП-4</t>
        </is>
      </c>
      <c r="B139" s="10" t="inlineStr">
        <is>
          <t>Проведение тренингов по Бережливому производству</t>
        </is>
      </c>
      <c r="C139" s="19">
        <f>IF('Оценки'!K139="","",'Оценки'!K139)</f>
        <v/>
      </c>
      <c r="D139" s="19">
        <f>IF('Оценки'!C139="","",'Оценки'!C139)</f>
        <v/>
      </c>
      <c r="E139" s="19">
        <f>IF(COUNT('Оценки'!D139:F139)=0,"",AVERAGE('Оценки'!D139:F139))</f>
        <v/>
      </c>
      <c r="F139" s="19">
        <f>IF(COUNT('Оценки'!G139:I139)=0,"",AVERAGE('Оценки'!G139:I139))</f>
        <v/>
      </c>
      <c r="G139" s="19">
        <f>IF('Оценки'!J139="","",'Оценки'!J139)</f>
        <v/>
      </c>
      <c r="H139" s="19">
        <f>IF(COUNT(D139:G139)=0,"",AVERAGE(D139:G139))</f>
        <v/>
      </c>
      <c r="I139" s="19">
        <f>IF(OR(C139="",H139=""),"",C139-H139)</f>
        <v/>
      </c>
      <c r="J139" s="18">
        <f>IF(I139="","",IF(I139&gt;=0.5,"⚠ переоценивает себя",IF(H139&lt;3,"низкий уровень","")))</f>
        <v/>
      </c>
    </row>
    <row r="140">
      <c r="A140" s="18" t="inlineStr">
        <is>
          <t>РП-4</t>
        </is>
      </c>
      <c r="B140" s="10" t="inlineStr">
        <is>
          <t>Мониторинг проводимого обучения</t>
        </is>
      </c>
      <c r="C140" s="19">
        <f>IF('Оценки'!K140="","",'Оценки'!K140)</f>
        <v/>
      </c>
      <c r="D140" s="19">
        <f>IF('Оценки'!C140="","",'Оценки'!C140)</f>
        <v/>
      </c>
      <c r="E140" s="19">
        <f>IF(COUNT('Оценки'!D140:F140)=0,"",AVERAGE('Оценки'!D140:F140))</f>
        <v/>
      </c>
      <c r="F140" s="19">
        <f>IF(COUNT('Оценки'!G140:I140)=0,"",AVERAGE('Оценки'!G140:I140))</f>
        <v/>
      </c>
      <c r="G140" s="19">
        <f>IF('Оценки'!J140="","",'Оценки'!J140)</f>
        <v/>
      </c>
      <c r="H140" s="19">
        <f>IF(COUNT(D140:G140)=0,"",AVERAGE(D140:G140))</f>
        <v/>
      </c>
      <c r="I140" s="19">
        <f>IF(OR(C140="",H140=""),"",C140-H140)</f>
        <v/>
      </c>
      <c r="J140" s="18">
        <f>IF(I140="","",IF(I140&gt;=0.5,"⚠ переоценивает себя",IF(H140&lt;3,"низкий уровень","")))</f>
        <v/>
      </c>
    </row>
    <row r="141">
      <c r="A141" s="18" t="inlineStr">
        <is>
          <t>РП-4</t>
        </is>
      </c>
      <c r="B141" s="11" t="inlineStr">
        <is>
          <t>Картирование потоков и «Диаграмма спагетти»</t>
        </is>
      </c>
      <c r="C141" s="19">
        <f>IF('Оценки'!K141="","",'Оценки'!K141)</f>
        <v/>
      </c>
      <c r="D141" s="19">
        <f>IF('Оценки'!C141="","",'Оценки'!C141)</f>
        <v/>
      </c>
      <c r="E141" s="19">
        <f>IF(COUNT('Оценки'!D141:F141)=0,"",AVERAGE('Оценки'!D141:F141))</f>
        <v/>
      </c>
      <c r="F141" s="19">
        <f>IF(COUNT('Оценки'!G141:I141)=0,"",AVERAGE('Оценки'!G141:I141))</f>
        <v/>
      </c>
      <c r="G141" s="19">
        <f>IF('Оценки'!J141="","",'Оценки'!J141)</f>
        <v/>
      </c>
      <c r="H141" s="19">
        <f>IF(COUNT(D141:G141)=0,"",AVERAGE(D141:G141))</f>
        <v/>
      </c>
      <c r="I141" s="19">
        <f>IF(OR(C141="",H141=""),"",C141-H141)</f>
        <v/>
      </c>
      <c r="J141" s="18">
        <f>IF(I141="","",IF(I141&gt;=0.5,"⚠ переоценивает себя",IF(H141&lt;3,"низкий уровень","")))</f>
        <v/>
      </c>
    </row>
    <row r="142">
      <c r="A142" s="18" t="inlineStr">
        <is>
          <t>РП-4</t>
        </is>
      </c>
      <c r="B142" s="11" t="inlineStr">
        <is>
          <t>Производственный анализ</t>
        </is>
      </c>
      <c r="C142" s="19">
        <f>IF('Оценки'!K142="","",'Оценки'!K142)</f>
        <v/>
      </c>
      <c r="D142" s="19">
        <f>IF('Оценки'!C142="","",'Оценки'!C142)</f>
        <v/>
      </c>
      <c r="E142" s="19">
        <f>IF(COUNT('Оценки'!D142:F142)=0,"",AVERAGE('Оценки'!D142:F142))</f>
        <v/>
      </c>
      <c r="F142" s="19">
        <f>IF(COUNT('Оценки'!G142:I142)=0,"",AVERAGE('Оценки'!G142:I142))</f>
        <v/>
      </c>
      <c r="G142" s="19">
        <f>IF('Оценки'!J142="","",'Оценки'!J142)</f>
        <v/>
      </c>
      <c r="H142" s="19">
        <f>IF(COUNT(D142:G142)=0,"",AVERAGE(D142:G142))</f>
        <v/>
      </c>
      <c r="I142" s="19">
        <f>IF(OR(C142="",H142=""),"",C142-H142)</f>
        <v/>
      </c>
      <c r="J142" s="18">
        <f>IF(I142="","",IF(I142&gt;=0.5,"⚠ переоценивает себя",IF(H142&lt;3,"низкий уровень","")))</f>
        <v/>
      </c>
    </row>
    <row r="143">
      <c r="A143" s="18" t="inlineStr">
        <is>
          <t>РП-4</t>
        </is>
      </c>
      <c r="B143" s="11" t="inlineStr">
        <is>
          <t>Поток единичных изделий</t>
        </is>
      </c>
      <c r="C143" s="19">
        <f>IF('Оценки'!K143="","",'Оценки'!K143)</f>
        <v/>
      </c>
      <c r="D143" s="19">
        <f>IF('Оценки'!C143="","",'Оценки'!C143)</f>
        <v/>
      </c>
      <c r="E143" s="19">
        <f>IF(COUNT('Оценки'!D143:F143)=0,"",AVERAGE('Оценки'!D143:F143))</f>
        <v/>
      </c>
      <c r="F143" s="19">
        <f>IF(COUNT('Оценки'!G143:I143)=0,"",AVERAGE('Оценки'!G143:I143))</f>
        <v/>
      </c>
      <c r="G143" s="19">
        <f>IF('Оценки'!J143="","",'Оценки'!J143)</f>
        <v/>
      </c>
      <c r="H143" s="19">
        <f>IF(COUNT(D143:G143)=0,"",AVERAGE(D143:G143))</f>
        <v/>
      </c>
      <c r="I143" s="19">
        <f>IF(OR(C143="",H143=""),"",C143-H143)</f>
        <v/>
      </c>
      <c r="J143" s="18">
        <f>IF(I143="","",IF(I143&gt;=0.5,"⚠ переоценивает себя",IF(H143&lt;3,"низкий уровень","")))</f>
        <v/>
      </c>
    </row>
    <row r="144">
      <c r="A144" s="18" t="inlineStr">
        <is>
          <t>РП-4</t>
        </is>
      </c>
      <c r="B144" s="11" t="inlineStr">
        <is>
          <t>Система «Канбан»</t>
        </is>
      </c>
      <c r="C144" s="19">
        <f>IF('Оценки'!K144="","",'Оценки'!K144)</f>
        <v/>
      </c>
      <c r="D144" s="19">
        <f>IF('Оценки'!C144="","",'Оценки'!C144)</f>
        <v/>
      </c>
      <c r="E144" s="19">
        <f>IF(COUNT('Оценки'!D144:F144)=0,"",AVERAGE('Оценки'!D144:F144))</f>
        <v/>
      </c>
      <c r="F144" s="19">
        <f>IF(COUNT('Оценки'!G144:I144)=0,"",AVERAGE('Оценки'!G144:I144))</f>
        <v/>
      </c>
      <c r="G144" s="19">
        <f>IF('Оценки'!J144="","",'Оценки'!J144)</f>
        <v/>
      </c>
      <c r="H144" s="19">
        <f>IF(COUNT(D144:G144)=0,"",AVERAGE(D144:G144))</f>
        <v/>
      </c>
      <c r="I144" s="19">
        <f>IF(OR(C144="",H144=""),"",C144-H144)</f>
        <v/>
      </c>
      <c r="J144" s="18">
        <f>IF(I144="","",IF(I144&gt;=0.5,"⚠ переоценивает себя",IF(H144&lt;3,"низкий уровень","")))</f>
        <v/>
      </c>
    </row>
    <row r="145">
      <c r="A145" s="18" t="inlineStr">
        <is>
          <t>РП-4</t>
        </is>
      </c>
      <c r="B145" s="11" t="inlineStr">
        <is>
          <t>Стандартизированная работа</t>
        </is>
      </c>
      <c r="C145" s="19">
        <f>IF('Оценки'!K145="","",'Оценки'!K145)</f>
        <v/>
      </c>
      <c r="D145" s="19">
        <f>IF('Оценки'!C145="","",'Оценки'!C145)</f>
        <v/>
      </c>
      <c r="E145" s="19">
        <f>IF(COUNT('Оценки'!D145:F145)=0,"",AVERAGE('Оценки'!D145:F145))</f>
        <v/>
      </c>
      <c r="F145" s="19">
        <f>IF(COUNT('Оценки'!G145:I145)=0,"",AVERAGE('Оценки'!G145:I145))</f>
        <v/>
      </c>
      <c r="G145" s="19">
        <f>IF('Оценки'!J145="","",'Оценки'!J145)</f>
        <v/>
      </c>
      <c r="H145" s="19">
        <f>IF(COUNT(D145:G145)=0,"",AVERAGE(D145:G145))</f>
        <v/>
      </c>
      <c r="I145" s="19">
        <f>IF(OR(C145="",H145=""),"",C145-H145)</f>
        <v/>
      </c>
      <c r="J145" s="18">
        <f>IF(I145="","",IF(I145&gt;=0.5,"⚠ переоценивает себя",IF(H145&lt;3,"низкий уровень","")))</f>
        <v/>
      </c>
    </row>
    <row r="146">
      <c r="A146" s="18" t="inlineStr">
        <is>
          <t>РП-4</t>
        </is>
      </c>
      <c r="B146" s="11" t="inlineStr">
        <is>
          <t>Методы поиска первопричин и решения проблем</t>
        </is>
      </c>
      <c r="C146" s="19">
        <f>IF('Оценки'!K146="","",'Оценки'!K146)</f>
        <v/>
      </c>
      <c r="D146" s="19">
        <f>IF('Оценки'!C146="","",'Оценки'!C146)</f>
        <v/>
      </c>
      <c r="E146" s="19">
        <f>IF(COUNT('Оценки'!D146:F146)=0,"",AVERAGE('Оценки'!D146:F146))</f>
        <v/>
      </c>
      <c r="F146" s="19">
        <f>IF(COUNT('Оценки'!G146:I146)=0,"",AVERAGE('Оценки'!G146:I146))</f>
        <v/>
      </c>
      <c r="G146" s="19">
        <f>IF('Оценки'!J146="","",'Оценки'!J146)</f>
        <v/>
      </c>
      <c r="H146" s="19">
        <f>IF(COUNT(D146:G146)=0,"",AVERAGE(D146:G146))</f>
        <v/>
      </c>
      <c r="I146" s="19">
        <f>IF(OR(C146="",H146=""),"",C146-H146)</f>
        <v/>
      </c>
      <c r="J146" s="18">
        <f>IF(I146="","",IF(I146&gt;=0.5,"⚠ переоценивает себя",IF(H146&lt;3,"низкий уровень","")))</f>
        <v/>
      </c>
    </row>
    <row r="147">
      <c r="A147" s="18" t="inlineStr">
        <is>
          <t>РП-4</t>
        </is>
      </c>
      <c r="B147" s="11" t="inlineStr">
        <is>
          <t>Быстрая переналадка (SMED)</t>
        </is>
      </c>
      <c r="C147" s="19">
        <f>IF('Оценки'!K147="","",'Оценки'!K147)</f>
        <v/>
      </c>
      <c r="D147" s="19">
        <f>IF('Оценки'!C147="","",'Оценки'!C147)</f>
        <v/>
      </c>
      <c r="E147" s="19">
        <f>IF(COUNT('Оценки'!D147:F147)=0,"",AVERAGE('Оценки'!D147:F147))</f>
        <v/>
      </c>
      <c r="F147" s="19">
        <f>IF(COUNT('Оценки'!G147:I147)=0,"",AVERAGE('Оценки'!G147:I147))</f>
        <v/>
      </c>
      <c r="G147" s="19">
        <f>IF('Оценки'!J147="","",'Оценки'!J147)</f>
        <v/>
      </c>
      <c r="H147" s="19">
        <f>IF(COUNT(D147:G147)=0,"",AVERAGE(D147:G147))</f>
        <v/>
      </c>
      <c r="I147" s="19">
        <f>IF(OR(C147="",H147=""),"",C147-H147)</f>
        <v/>
      </c>
      <c r="J147" s="18">
        <f>IF(I147="","",IF(I147&gt;=0.5,"⚠ переоценивает себя",IF(H147&lt;3,"низкий уровень","")))</f>
        <v/>
      </c>
    </row>
    <row r="148">
      <c r="A148" s="18" t="inlineStr">
        <is>
          <t>РП-4</t>
        </is>
      </c>
      <c r="B148" s="11" t="inlineStr">
        <is>
          <t>«Poka-Yoke» (защита от ошибок)</t>
        </is>
      </c>
      <c r="C148" s="19">
        <f>IF('Оценки'!K148="","",'Оценки'!K148)</f>
        <v/>
      </c>
      <c r="D148" s="19">
        <f>IF('Оценки'!C148="","",'Оценки'!C148)</f>
        <v/>
      </c>
      <c r="E148" s="19">
        <f>IF(COUNT('Оценки'!D148:F148)=0,"",AVERAGE('Оценки'!D148:F148))</f>
        <v/>
      </c>
      <c r="F148" s="19">
        <f>IF(COUNT('Оценки'!G148:I148)=0,"",AVERAGE('Оценки'!G148:I148))</f>
        <v/>
      </c>
      <c r="G148" s="19">
        <f>IF('Оценки'!J148="","",'Оценки'!J148)</f>
        <v/>
      </c>
      <c r="H148" s="19">
        <f>IF(COUNT(D148:G148)=0,"",AVERAGE(D148:G148))</f>
        <v/>
      </c>
      <c r="I148" s="19">
        <f>IF(OR(C148="",H148=""),"",C148-H148)</f>
        <v/>
      </c>
      <c r="J148" s="18">
        <f>IF(I148="","",IF(I148&gt;=0.5,"⚠ переоценивает себя",IF(H148&lt;3,"низкий уровень","")))</f>
        <v/>
      </c>
    </row>
    <row r="149">
      <c r="A149" s="18" t="inlineStr">
        <is>
          <t>РП-4</t>
        </is>
      </c>
      <c r="B149" s="11" t="inlineStr">
        <is>
          <t>5С на производстве и в офисе</t>
        </is>
      </c>
      <c r="C149" s="19">
        <f>IF('Оценки'!K149="","",'Оценки'!K149)</f>
        <v/>
      </c>
      <c r="D149" s="19">
        <f>IF('Оценки'!C149="","",'Оценки'!C149)</f>
        <v/>
      </c>
      <c r="E149" s="19">
        <f>IF(COUNT('Оценки'!D149:F149)=0,"",AVERAGE('Оценки'!D149:F149))</f>
        <v/>
      </c>
      <c r="F149" s="19">
        <f>IF(COUNT('Оценки'!G149:I149)=0,"",AVERAGE('Оценки'!G149:I149))</f>
        <v/>
      </c>
      <c r="G149" s="19">
        <f>IF('Оценки'!J149="","",'Оценки'!J149)</f>
        <v/>
      </c>
      <c r="H149" s="19">
        <f>IF(COUNT(D149:G149)=0,"",AVERAGE(D149:G149))</f>
        <v/>
      </c>
      <c r="I149" s="19">
        <f>IF(OR(C149="",H149=""),"",C149-H149)</f>
        <v/>
      </c>
      <c r="J149" s="18">
        <f>IF(I149="","",IF(I149&gt;=0.5,"⚠ переоценивает себя",IF(H149&lt;3,"низкий уровень","")))</f>
        <v/>
      </c>
    </row>
    <row r="150">
      <c r="A150" s="18" t="inlineStr">
        <is>
          <t>РП-4</t>
        </is>
      </c>
      <c r="B150" s="11" t="inlineStr">
        <is>
          <t>ОЕЕ — анализ эффективности оборудования</t>
        </is>
      </c>
      <c r="C150" s="19">
        <f>IF('Оценки'!K150="","",'Оценки'!K150)</f>
        <v/>
      </c>
      <c r="D150" s="19">
        <f>IF('Оценки'!C150="","",'Оценки'!C150)</f>
        <v/>
      </c>
      <c r="E150" s="19">
        <f>IF(COUNT('Оценки'!D150:F150)=0,"",AVERAGE('Оценки'!D150:F150))</f>
        <v/>
      </c>
      <c r="F150" s="19">
        <f>IF(COUNT('Оценки'!G150:I150)=0,"",AVERAGE('Оценки'!G150:I150))</f>
        <v/>
      </c>
      <c r="G150" s="19">
        <f>IF('Оценки'!J150="","",'Оценки'!J150)</f>
        <v/>
      </c>
      <c r="H150" s="19">
        <f>IF(COUNT(D150:G150)=0,"",AVERAGE(D150:G150))</f>
        <v/>
      </c>
      <c r="I150" s="19">
        <f>IF(OR(C150="",H150=""),"",C150-H150)</f>
        <v/>
      </c>
      <c r="J150" s="18">
        <f>IF(I150="","",IF(I150&gt;=0.5,"⚠ переоценивает себя",IF(H150&lt;3,"низкий уровень","")))</f>
        <v/>
      </c>
    </row>
    <row r="151">
      <c r="A151" s="18" t="inlineStr">
        <is>
          <t>РП-4</t>
        </is>
      </c>
      <c r="B151" s="11" t="inlineStr">
        <is>
          <t>Автономное обслуживание оборудования</t>
        </is>
      </c>
      <c r="C151" s="19">
        <f>IF('Оценки'!K151="","",'Оценки'!K151)</f>
        <v/>
      </c>
      <c r="D151" s="19">
        <f>IF('Оценки'!C151="","",'Оценки'!C151)</f>
        <v/>
      </c>
      <c r="E151" s="19">
        <f>IF(COUNT('Оценки'!D151:F151)=0,"",AVERAGE('Оценки'!D151:F151))</f>
        <v/>
      </c>
      <c r="F151" s="19">
        <f>IF(COUNT('Оценки'!G151:I151)=0,"",AVERAGE('Оценки'!G151:I151))</f>
        <v/>
      </c>
      <c r="G151" s="19">
        <f>IF('Оценки'!J151="","",'Оценки'!J151)</f>
        <v/>
      </c>
      <c r="H151" s="19">
        <f>IF(COUNT(D151:G151)=0,"",AVERAGE(D151:G151))</f>
        <v/>
      </c>
      <c r="I151" s="19">
        <f>IF(OR(C151="",H151=""),"",C151-H151)</f>
        <v/>
      </c>
      <c r="J151" s="18">
        <f>IF(I151="","",IF(I151&gt;=0.5,"⚠ переоценивает себя",IF(H151&lt;3,"низкий уровень","")))</f>
        <v/>
      </c>
    </row>
    <row r="152">
      <c r="A152" s="18" t="inlineStr">
        <is>
          <t>РП-4</t>
        </is>
      </c>
      <c r="B152" s="11" t="inlineStr">
        <is>
          <t>Управление запасами</t>
        </is>
      </c>
      <c r="C152" s="19">
        <f>IF('Оценки'!K152="","",'Оценки'!K152)</f>
        <v/>
      </c>
      <c r="D152" s="19">
        <f>IF('Оценки'!C152="","",'Оценки'!C152)</f>
        <v/>
      </c>
      <c r="E152" s="19">
        <f>IF(COUNT('Оценки'!D152:F152)=0,"",AVERAGE('Оценки'!D152:F152))</f>
        <v/>
      </c>
      <c r="F152" s="19">
        <f>IF(COUNT('Оценки'!G152:I152)=0,"",AVERAGE('Оценки'!G152:I152))</f>
        <v/>
      </c>
      <c r="G152" s="19">
        <f>IF('Оценки'!J152="","",'Оценки'!J152)</f>
        <v/>
      </c>
      <c r="H152" s="19">
        <f>IF(COUNT(D152:G152)=0,"",AVERAGE(D152:G152))</f>
        <v/>
      </c>
      <c r="I152" s="19">
        <f>IF(OR(C152="",H152=""),"",C152-H152)</f>
        <v/>
      </c>
      <c r="J152" s="18">
        <f>IF(I152="","",IF(I152&gt;=0.5,"⚠ переоценивает себя",IF(H152&lt;3,"низкий уровень","")))</f>
        <v/>
      </c>
    </row>
    <row r="153">
      <c r="A153" s="18" t="inlineStr">
        <is>
          <t>РП-4</t>
        </is>
      </c>
      <c r="B153" s="12" t="inlineStr">
        <is>
          <t>Сбор и проверка данных от предприятий-участников, выработка корректирующих мероприятий</t>
        </is>
      </c>
      <c r="C153" s="19">
        <f>IF('Оценки'!K153="","",'Оценки'!K153)</f>
        <v/>
      </c>
      <c r="D153" s="19">
        <f>IF('Оценки'!C153="","",'Оценки'!C153)</f>
        <v/>
      </c>
      <c r="E153" s="19">
        <f>IF(COUNT('Оценки'!D153:F153)=0,"",AVERAGE('Оценки'!D153:F153))</f>
        <v/>
      </c>
      <c r="F153" s="19">
        <f>IF(COUNT('Оценки'!G153:I153)=0,"",AVERAGE('Оценки'!G153:I153))</f>
        <v/>
      </c>
      <c r="G153" s="19">
        <f>IF('Оценки'!J153="","",'Оценки'!J153)</f>
        <v/>
      </c>
      <c r="H153" s="19">
        <f>IF(COUNT(D153:G153)=0,"",AVERAGE(D153:G153))</f>
        <v/>
      </c>
      <c r="I153" s="19">
        <f>IF(OR(C153="",H153=""),"",C153-H153)</f>
        <v/>
      </c>
      <c r="J153" s="18">
        <f>IF(I153="","",IF(I153&gt;=0.5,"⚠ переоценивает себя",IF(H153&lt;3,"низкий уровень","")))</f>
        <v/>
      </c>
    </row>
    <row r="154">
      <c r="A154" s="18" t="inlineStr">
        <is>
          <t>РП-4</t>
        </is>
      </c>
      <c r="B154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154" s="19">
        <f>IF('Оценки'!K154="","",'Оценки'!K154)</f>
        <v/>
      </c>
      <c r="D154" s="19">
        <f>IF('Оценки'!C154="","",'Оценки'!C154)</f>
        <v/>
      </c>
      <c r="E154" s="19">
        <f>IF(COUNT('Оценки'!D154:F154)=0,"",AVERAGE('Оценки'!D154:F154))</f>
        <v/>
      </c>
      <c r="F154" s="19">
        <f>IF(COUNT('Оценки'!G154:I154)=0,"",AVERAGE('Оценки'!G154:I154))</f>
        <v/>
      </c>
      <c r="G154" s="19">
        <f>IF('Оценки'!J154="","",'Оценки'!J154)</f>
        <v/>
      </c>
      <c r="H154" s="19">
        <f>IF(COUNT(D154:G154)=0,"",AVERAGE(D154:G154))</f>
        <v/>
      </c>
      <c r="I154" s="19">
        <f>IF(OR(C154="",H154=""),"",C154-H154)</f>
        <v/>
      </c>
      <c r="J154" s="18">
        <f>IF(I154="","",IF(I154&gt;=0.5,"⚠ переоценивает себя",IF(H154&lt;3,"низкий уровень","")))</f>
        <v/>
      </c>
    </row>
    <row r="155">
      <c r="A155" s="18" t="inlineStr">
        <is>
          <t>РП-4</t>
        </is>
      </c>
      <c r="B155" s="12" t="inlineStr">
        <is>
          <t>Поиск и распространение лучших практик по производительности труда</t>
        </is>
      </c>
      <c r="C155" s="19">
        <f>IF('Оценки'!K155="","",'Оценки'!K155)</f>
        <v/>
      </c>
      <c r="D155" s="19">
        <f>IF('Оценки'!C155="","",'Оценки'!C155)</f>
        <v/>
      </c>
      <c r="E155" s="19">
        <f>IF(COUNT('Оценки'!D155:F155)=0,"",AVERAGE('Оценки'!D155:F155))</f>
        <v/>
      </c>
      <c r="F155" s="19">
        <f>IF(COUNT('Оценки'!G155:I155)=0,"",AVERAGE('Оценки'!G155:I155))</f>
        <v/>
      </c>
      <c r="G155" s="19">
        <f>IF('Оценки'!J155="","",'Оценки'!J155)</f>
        <v/>
      </c>
      <c r="H155" s="19">
        <f>IF(COUNT(D155:G155)=0,"",AVERAGE(D155:G155))</f>
        <v/>
      </c>
      <c r="I155" s="19">
        <f>IF(OR(C155="",H155=""),"",C155-H155)</f>
        <v/>
      </c>
      <c r="J155" s="18">
        <f>IF(I155="","",IF(I155&gt;=0.5,"⚠ переоценивает себя",IF(H155&lt;3,"низкий уровень","")))</f>
        <v/>
      </c>
    </row>
    <row r="156">
      <c r="A156" s="18" t="inlineStr">
        <is>
          <t>РП-4</t>
        </is>
      </c>
      <c r="B156" s="12" t="inlineStr">
        <is>
          <t>Организация работы с предложениями по улучшению (ППУ)</t>
        </is>
      </c>
      <c r="C156" s="19">
        <f>IF('Оценки'!K156="","",'Оценки'!K156)</f>
        <v/>
      </c>
      <c r="D156" s="19">
        <f>IF('Оценки'!C156="","",'Оценки'!C156)</f>
        <v/>
      </c>
      <c r="E156" s="19">
        <f>IF(COUNT('Оценки'!D156:F156)=0,"",AVERAGE('Оценки'!D156:F156))</f>
        <v/>
      </c>
      <c r="F156" s="19">
        <f>IF(COUNT('Оценки'!G156:I156)=0,"",AVERAGE('Оценки'!G156:I156))</f>
        <v/>
      </c>
      <c r="G156" s="19">
        <f>IF('Оценки'!J156="","",'Оценки'!J156)</f>
        <v/>
      </c>
      <c r="H156" s="19">
        <f>IF(COUNT(D156:G156)=0,"",AVERAGE(D156:G156))</f>
        <v/>
      </c>
      <c r="I156" s="19">
        <f>IF(OR(C156="",H156=""),"",C156-H156)</f>
        <v/>
      </c>
      <c r="J156" s="18">
        <f>IF(I156="","",IF(I156&gt;=0.5,"⚠ переоценивает себя",IF(H156&lt;3,"низкий уровень","")))</f>
        <v/>
      </c>
    </row>
    <row r="157">
      <c r="A157" s="18" t="inlineStr">
        <is>
          <t>РП-4</t>
        </is>
      </c>
      <c r="B157" s="12" t="inlineStr">
        <is>
          <t>Ведение мониторинга проектов в подсистеме «Совместная работа» на ИТ-платформе</t>
        </is>
      </c>
      <c r="C157" s="19">
        <f>IF('Оценки'!K157="","",'Оценки'!K157)</f>
        <v/>
      </c>
      <c r="D157" s="19">
        <f>IF('Оценки'!C157="","",'Оценки'!C157)</f>
        <v/>
      </c>
      <c r="E157" s="19">
        <f>IF(COUNT('Оценки'!D157:F157)=0,"",AVERAGE('Оценки'!D157:F157))</f>
        <v/>
      </c>
      <c r="F157" s="19">
        <f>IF(COUNT('Оценки'!G157:I157)=0,"",AVERAGE('Оценки'!G157:I157))</f>
        <v/>
      </c>
      <c r="G157" s="19">
        <f>IF('Оценки'!J157="","",'Оценки'!J157)</f>
        <v/>
      </c>
      <c r="H157" s="19">
        <f>IF(COUNT(D157:G157)=0,"",AVERAGE(D157:G157))</f>
        <v/>
      </c>
      <c r="I157" s="19">
        <f>IF(OR(C157="",H157=""),"",C157-H157)</f>
        <v/>
      </c>
      <c r="J157" s="18">
        <f>IF(I157="","",IF(I157&gt;=0.5,"⚠ переоценивает себя",IF(H157&lt;3,"низкий уровень","")))</f>
        <v/>
      </c>
    </row>
    <row r="158">
      <c r="A158" s="20" t="inlineStr">
        <is>
          <t>РП-4</t>
        </is>
      </c>
      <c r="B158" s="20" t="inlineStr">
        <is>
          <t>ИТОГО (среднее по всем компетенциям)</t>
        </is>
      </c>
      <c r="C158" s="21">
        <f>IF(COUNT(C121:C157)=0,"",AVERAGE(C121:C157))</f>
        <v/>
      </c>
      <c r="D158" s="21">
        <f>IF(COUNT(D121:D157)=0,"",AVERAGE(D121:D157))</f>
        <v/>
      </c>
      <c r="E158" s="21">
        <f>IF(COUNT(E121:E157)=0,"",AVERAGE(E121:E157))</f>
        <v/>
      </c>
      <c r="F158" s="21">
        <f>IF(COUNT(F121:F157)=0,"",AVERAGE(F121:F157))</f>
        <v/>
      </c>
      <c r="G158" s="21">
        <f>IF(COUNT(G121:G157)=0,"",AVERAGE(G121:G157))</f>
        <v/>
      </c>
      <c r="H158" s="21">
        <f>IF(COUNT(H121:H157)=0,"",AVERAGE(H121:H157))</f>
        <v/>
      </c>
      <c r="I158" s="21">
        <f>IF(OR(C158="",H158=""),"",C158-H158)</f>
        <v/>
      </c>
      <c r="J158" s="20">
        <f>IF(I158="","",IF(I158&gt;=0.5,"⚠ переоценивает себя",IF(H158&lt;3,"низкий уровень","")))</f>
        <v/>
      </c>
    </row>
    <row r="159">
      <c r="A159" s="18" t="n"/>
      <c r="B159" s="18" t="n"/>
      <c r="C159" s="19" t="n"/>
      <c r="D159" s="19" t="n"/>
      <c r="E159" s="19" t="n"/>
      <c r="F159" s="19" t="n"/>
      <c r="G159" s="19" t="n"/>
      <c r="H159" s="19" t="n"/>
      <c r="I159" s="19" t="n"/>
      <c r="J159" s="18" t="n"/>
    </row>
    <row r="160">
      <c r="A160" s="18" t="inlineStr">
        <is>
          <t>РП-5</t>
        </is>
      </c>
      <c r="B160" s="8" t="inlineStr">
        <is>
          <t>Проведение оценки на соответствие предприятия обязательным критериям</t>
        </is>
      </c>
      <c r="C160" s="19">
        <f>IF('Оценки'!K160="","",'Оценки'!K160)</f>
        <v/>
      </c>
      <c r="D160" s="19">
        <f>IF('Оценки'!C160="","",'Оценки'!C160)</f>
        <v/>
      </c>
      <c r="E160" s="19">
        <f>IF(COUNT('Оценки'!D160:F160)=0,"",AVERAGE('Оценки'!D160:F160))</f>
        <v/>
      </c>
      <c r="F160" s="19">
        <f>IF(COUNT('Оценки'!G160:I160)=0,"",AVERAGE('Оценки'!G160:I160))</f>
        <v/>
      </c>
      <c r="G160" s="19">
        <f>IF('Оценки'!J160="","",'Оценки'!J160)</f>
        <v/>
      </c>
      <c r="H160" s="19">
        <f>IF(COUNT(D160:G160)=0,"",AVERAGE(D160:G160))</f>
        <v/>
      </c>
      <c r="I160" s="19">
        <f>IF(OR(C160="",H160=""),"",C160-H160)</f>
        <v/>
      </c>
      <c r="J160" s="18">
        <f>IF(I160="","",IF(I160&gt;=0.5,"⚠ переоценивает себя",IF(H160&lt;3,"низкий уровень","")))</f>
        <v/>
      </c>
    </row>
    <row r="161">
      <c r="A161" s="18" t="inlineStr">
        <is>
          <t>РП-5</t>
        </is>
      </c>
      <c r="B161" s="8" t="inlineStr">
        <is>
          <t>Проведение оценки готовности руководства предприятия к участию в проекте (интервью)</t>
        </is>
      </c>
      <c r="C161" s="19">
        <f>IF('Оценки'!K161="","",'Оценки'!K161)</f>
        <v/>
      </c>
      <c r="D161" s="19">
        <f>IF('Оценки'!C161="","",'Оценки'!C161)</f>
        <v/>
      </c>
      <c r="E161" s="19">
        <f>IF(COUNT('Оценки'!D161:F161)=0,"",AVERAGE('Оценки'!D161:F161))</f>
        <v/>
      </c>
      <c r="F161" s="19">
        <f>IF(COUNT('Оценки'!G161:I161)=0,"",AVERAGE('Оценки'!G161:I161))</f>
        <v/>
      </c>
      <c r="G161" s="19">
        <f>IF('Оценки'!J161="","",'Оценки'!J161)</f>
        <v/>
      </c>
      <c r="H161" s="19">
        <f>IF(COUNT(D161:G161)=0,"",AVERAGE(D161:G161))</f>
        <v/>
      </c>
      <c r="I161" s="19">
        <f>IF(OR(C161="",H161=""),"",C161-H161)</f>
        <v/>
      </c>
      <c r="J161" s="18">
        <f>IF(I161="","",IF(I161&gt;=0.5,"⚠ переоценивает себя",IF(H161&lt;3,"низкий уровень","")))</f>
        <v/>
      </c>
    </row>
    <row r="162">
      <c r="A162" s="18" t="inlineStr">
        <is>
          <t>РП-5</t>
        </is>
      </c>
      <c r="B162" s="8" t="inlineStr">
        <is>
          <t>Проведение визуальной оценки производственного процесса на предприятии (визит на площадку)</t>
        </is>
      </c>
      <c r="C162" s="19">
        <f>IF('Оценки'!K162="","",'Оценки'!K162)</f>
        <v/>
      </c>
      <c r="D162" s="19">
        <f>IF('Оценки'!C162="","",'Оценки'!C162)</f>
        <v/>
      </c>
      <c r="E162" s="19">
        <f>IF(COUNT('Оценки'!D162:F162)=0,"",AVERAGE('Оценки'!D162:F162))</f>
        <v/>
      </c>
      <c r="F162" s="19">
        <f>IF(COUNT('Оценки'!G162:I162)=0,"",AVERAGE('Оценки'!G162:I162))</f>
        <v/>
      </c>
      <c r="G162" s="19">
        <f>IF('Оценки'!J162="","",'Оценки'!J162)</f>
        <v/>
      </c>
      <c r="H162" s="19">
        <f>IF(COUNT(D162:G162)=0,"",AVERAGE(D162:G162))</f>
        <v/>
      </c>
      <c r="I162" s="19">
        <f>IF(OR(C162="",H162=""),"",C162-H162)</f>
        <v/>
      </c>
      <c r="J162" s="18">
        <f>IF(I162="","",IF(I162&gt;=0.5,"⚠ переоценивает себя",IF(H162&lt;3,"низкий уровень","")))</f>
        <v/>
      </c>
    </row>
    <row r="163">
      <c r="A163" s="18" t="inlineStr">
        <is>
          <t>РП-5</t>
        </is>
      </c>
      <c r="B163" s="8" t="inlineStr">
        <is>
          <t>Вовлечение руководства предприятий в федеральный проект</t>
        </is>
      </c>
      <c r="C163" s="19">
        <f>IF('Оценки'!K163="","",'Оценки'!K163)</f>
        <v/>
      </c>
      <c r="D163" s="19">
        <f>IF('Оценки'!C163="","",'Оценки'!C163)</f>
        <v/>
      </c>
      <c r="E163" s="19">
        <f>IF(COUNT('Оценки'!D163:F163)=0,"",AVERAGE('Оценки'!D163:F163))</f>
        <v/>
      </c>
      <c r="F163" s="19">
        <f>IF(COUNT('Оценки'!G163:I163)=0,"",AVERAGE('Оценки'!G163:I163))</f>
        <v/>
      </c>
      <c r="G163" s="19">
        <f>IF('Оценки'!J163="","",'Оценки'!J163)</f>
        <v/>
      </c>
      <c r="H163" s="19">
        <f>IF(COUNT(D163:G163)=0,"",AVERAGE(D163:G163))</f>
        <v/>
      </c>
      <c r="I163" s="19">
        <f>IF(OR(C163="",H163=""),"",C163-H163)</f>
        <v/>
      </c>
      <c r="J163" s="18">
        <f>IF(I163="","",IF(I163&gt;=0.5,"⚠ переоценивает себя",IF(H163&lt;3,"низкий уровень","")))</f>
        <v/>
      </c>
    </row>
    <row r="164">
      <c r="A164" s="18" t="inlineStr">
        <is>
          <t>РП-5</t>
        </is>
      </c>
      <c r="B164" s="8" t="inlineStr">
        <is>
          <t>Подписание соглашения о сотрудничестве между РЦК и предприятием</t>
        </is>
      </c>
      <c r="C164" s="19">
        <f>IF('Оценки'!K164="","",'Оценки'!K164)</f>
        <v/>
      </c>
      <c r="D164" s="19">
        <f>IF('Оценки'!C164="","",'Оценки'!C164)</f>
        <v/>
      </c>
      <c r="E164" s="19">
        <f>IF(COUNT('Оценки'!D164:F164)=0,"",AVERAGE('Оценки'!D164:F164))</f>
        <v/>
      </c>
      <c r="F164" s="19">
        <f>IF(COUNT('Оценки'!G164:I164)=0,"",AVERAGE('Оценки'!G164:I164))</f>
        <v/>
      </c>
      <c r="G164" s="19">
        <f>IF('Оценки'!J164="","",'Оценки'!J164)</f>
        <v/>
      </c>
      <c r="H164" s="19">
        <f>IF(COUNT(D164:G164)=0,"",AVERAGE(D164:G164))</f>
        <v/>
      </c>
      <c r="I164" s="19">
        <f>IF(OR(C164="",H164=""),"",C164-H164)</f>
        <v/>
      </c>
      <c r="J164" s="18">
        <f>IF(I164="","",IF(I164&gt;=0.5,"⚠ переоценивает себя",IF(H164&lt;3,"низкий уровень","")))</f>
        <v/>
      </c>
    </row>
    <row r="165">
      <c r="A165" s="18" t="inlineStr">
        <is>
          <t>РП-5</t>
        </is>
      </c>
      <c r="B165" s="10" t="inlineStr">
        <is>
          <t>Реализация организационных вех программы</t>
        </is>
      </c>
      <c r="C165" s="19">
        <f>IF('Оценки'!K165="","",'Оценки'!K165)</f>
        <v/>
      </c>
      <c r="D165" s="19">
        <f>IF('Оценки'!C165="","",'Оценки'!C165)</f>
        <v/>
      </c>
      <c r="E165" s="19">
        <f>IF(COUNT('Оценки'!D165:F165)=0,"",AVERAGE('Оценки'!D165:F165))</f>
        <v/>
      </c>
      <c r="F165" s="19">
        <f>IF(COUNT('Оценки'!G165:I165)=0,"",AVERAGE('Оценки'!G165:I165))</f>
        <v/>
      </c>
      <c r="G165" s="19">
        <f>IF('Оценки'!J165="","",'Оценки'!J165)</f>
        <v/>
      </c>
      <c r="H165" s="19">
        <f>IF(COUNT(D165:G165)=0,"",AVERAGE(D165:G165))</f>
        <v/>
      </c>
      <c r="I165" s="19">
        <f>IF(OR(C165="",H165=""),"",C165-H165)</f>
        <v/>
      </c>
      <c r="J165" s="18">
        <f>IF(I165="","",IF(I165&gt;=0.5,"⚠ переоценивает себя",IF(H165&lt;3,"низкий уровень","")))</f>
        <v/>
      </c>
    </row>
    <row r="166">
      <c r="A166" s="18" t="inlineStr">
        <is>
          <t>РП-5</t>
        </is>
      </c>
      <c r="B166" s="10" t="inlineStr">
        <is>
          <t>Формирование проектного офиса</t>
        </is>
      </c>
      <c r="C166" s="19">
        <f>IF('Оценки'!K166="","",'Оценки'!K166)</f>
        <v/>
      </c>
      <c r="D166" s="19">
        <f>IF('Оценки'!C166="","",'Оценки'!C166)</f>
        <v/>
      </c>
      <c r="E166" s="19">
        <f>IF(COUNT('Оценки'!D166:F166)=0,"",AVERAGE('Оценки'!D166:F166))</f>
        <v/>
      </c>
      <c r="F166" s="19">
        <f>IF(COUNT('Оценки'!G166:I166)=0,"",AVERAGE('Оценки'!G166:I166))</f>
        <v/>
      </c>
      <c r="G166" s="19">
        <f>IF('Оценки'!J166="","",'Оценки'!J166)</f>
        <v/>
      </c>
      <c r="H166" s="19">
        <f>IF(COUNT(D166:G166)=0,"",AVERAGE(D166:G166))</f>
        <v/>
      </c>
      <c r="I166" s="19">
        <f>IF(OR(C166="",H166=""),"",C166-H166)</f>
        <v/>
      </c>
      <c r="J166" s="18">
        <f>IF(I166="","",IF(I166&gt;=0.5,"⚠ переоценивает себя",IF(H166&lt;3,"низкий уровень","")))</f>
        <v/>
      </c>
    </row>
    <row r="167">
      <c r="A167" s="18" t="inlineStr">
        <is>
          <t>РП-5</t>
        </is>
      </c>
      <c r="B167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167" s="19">
        <f>IF('Оценки'!K167="","",'Оценки'!K167)</f>
        <v/>
      </c>
      <c r="D167" s="19">
        <f>IF('Оценки'!C167="","",'Оценки'!C167)</f>
        <v/>
      </c>
      <c r="E167" s="19">
        <f>IF(COUNT('Оценки'!D167:F167)=0,"",AVERAGE('Оценки'!D167:F167))</f>
        <v/>
      </c>
      <c r="F167" s="19">
        <f>IF(COUNT('Оценки'!G167:I167)=0,"",AVERAGE('Оценки'!G167:I167))</f>
        <v/>
      </c>
      <c r="G167" s="19">
        <f>IF('Оценки'!J167="","",'Оценки'!J167)</f>
        <v/>
      </c>
      <c r="H167" s="19">
        <f>IF(COUNT(D167:G167)=0,"",AVERAGE(D167:G167))</f>
        <v/>
      </c>
      <c r="I167" s="19">
        <f>IF(OR(C167="",H167=""),"",C167-H167)</f>
        <v/>
      </c>
      <c r="J167" s="18">
        <f>IF(I167="","",IF(I167&gt;=0.5,"⚠ переоценивает себя",IF(H167&lt;3,"низкий уровень","")))</f>
        <v/>
      </c>
    </row>
    <row r="168">
      <c r="A168" s="18" t="inlineStr">
        <is>
          <t>РП-5</t>
        </is>
      </c>
      <c r="B168" s="10" t="inlineStr">
        <is>
          <t>Выявление степени готовности предприятия к изменениям</t>
        </is>
      </c>
      <c r="C168" s="19">
        <f>IF('Оценки'!K168="","",'Оценки'!K168)</f>
        <v/>
      </c>
      <c r="D168" s="19">
        <f>IF('Оценки'!C168="","",'Оценки'!C168)</f>
        <v/>
      </c>
      <c r="E168" s="19">
        <f>IF(COUNT('Оценки'!D168:F168)=0,"",AVERAGE('Оценки'!D168:F168))</f>
        <v/>
      </c>
      <c r="F168" s="19">
        <f>IF(COUNT('Оценки'!G168:I168)=0,"",AVERAGE('Оценки'!G168:I168))</f>
        <v/>
      </c>
      <c r="G168" s="19">
        <f>IF('Оценки'!J168="","",'Оценки'!J168)</f>
        <v/>
      </c>
      <c r="H168" s="19">
        <f>IF(COUNT(D168:G168)=0,"",AVERAGE(D168:G168))</f>
        <v/>
      </c>
      <c r="I168" s="19">
        <f>IF(OR(C168="",H168=""),"",C168-H168)</f>
        <v/>
      </c>
      <c r="J168" s="18">
        <f>IF(I168="","",IF(I168&gt;=0.5,"⚠ переоценивает себя",IF(H168&lt;3,"низкий уровень","")))</f>
        <v/>
      </c>
    </row>
    <row r="169">
      <c r="A169" s="18" t="inlineStr">
        <is>
          <t>РП-5</t>
        </is>
      </c>
      <c r="B169" s="10" t="inlineStr">
        <is>
          <t>Составление плана ключевых событий</t>
        </is>
      </c>
      <c r="C169" s="19">
        <f>IF('Оценки'!K169="","",'Оценки'!K169)</f>
        <v/>
      </c>
      <c r="D169" s="19">
        <f>IF('Оценки'!C169="","",'Оценки'!C169)</f>
        <v/>
      </c>
      <c r="E169" s="19">
        <f>IF(COUNT('Оценки'!D169:F169)=0,"",AVERAGE('Оценки'!D169:F169))</f>
        <v/>
      </c>
      <c r="F169" s="19">
        <f>IF(COUNT('Оценки'!G169:I169)=0,"",AVERAGE('Оценки'!G169:I169))</f>
        <v/>
      </c>
      <c r="G169" s="19">
        <f>IF('Оценки'!J169="","",'Оценки'!J169)</f>
        <v/>
      </c>
      <c r="H169" s="19">
        <f>IF(COUNT(D169:G169)=0,"",AVERAGE(D169:G169))</f>
        <v/>
      </c>
      <c r="I169" s="19">
        <f>IF(OR(C169="",H169=""),"",C169-H169)</f>
        <v/>
      </c>
      <c r="J169" s="18">
        <f>IF(I169="","",IF(I169&gt;=0.5,"⚠ переоценивает себя",IF(H169&lt;3,"низкий уровень","")))</f>
        <v/>
      </c>
    </row>
    <row r="170">
      <c r="A170" s="18" t="inlineStr">
        <is>
          <t>РП-5</t>
        </is>
      </c>
      <c r="B170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170" s="19">
        <f>IF('Оценки'!K170="","",'Оценки'!K170)</f>
        <v/>
      </c>
      <c r="D170" s="19">
        <f>IF('Оценки'!C170="","",'Оценки'!C170)</f>
        <v/>
      </c>
      <c r="E170" s="19">
        <f>IF(COUNT('Оценки'!D170:F170)=0,"",AVERAGE('Оценки'!D170:F170))</f>
        <v/>
      </c>
      <c r="F170" s="19">
        <f>IF(COUNT('Оценки'!G170:I170)=0,"",AVERAGE('Оценки'!G170:I170))</f>
        <v/>
      </c>
      <c r="G170" s="19">
        <f>IF('Оценки'!J170="","",'Оценки'!J170)</f>
        <v/>
      </c>
      <c r="H170" s="19">
        <f>IF(COUNT(D170:G170)=0,"",AVERAGE(D170:G170))</f>
        <v/>
      </c>
      <c r="I170" s="19">
        <f>IF(OR(C170="",H170=""),"",C170-H170)</f>
        <v/>
      </c>
      <c r="J170" s="18">
        <f>IF(I170="","",IF(I170&gt;=0.5,"⚠ переоценивает себя",IF(H170&lt;3,"низкий уровень","")))</f>
        <v/>
      </c>
    </row>
    <row r="171">
      <c r="A171" s="18" t="inlineStr">
        <is>
          <t>РП-5</t>
        </is>
      </c>
      <c r="B171" s="10" t="inlineStr">
        <is>
          <t>Проведение анализа показателей проектов повышения производительности труда</t>
        </is>
      </c>
      <c r="C171" s="19">
        <f>IF('Оценки'!K171="","",'Оценки'!K171)</f>
        <v/>
      </c>
      <c r="D171" s="19">
        <f>IF('Оценки'!C171="","",'Оценки'!C171)</f>
        <v/>
      </c>
      <c r="E171" s="19">
        <f>IF(COUNT('Оценки'!D171:F171)=0,"",AVERAGE('Оценки'!D171:F171))</f>
        <v/>
      </c>
      <c r="F171" s="19">
        <f>IF(COUNT('Оценки'!G171:I171)=0,"",AVERAGE('Оценки'!G171:I171))</f>
        <v/>
      </c>
      <c r="G171" s="19">
        <f>IF('Оценки'!J171="","",'Оценки'!J171)</f>
        <v/>
      </c>
      <c r="H171" s="19">
        <f>IF(COUNT(D171:G171)=0,"",AVERAGE(D171:G171))</f>
        <v/>
      </c>
      <c r="I171" s="19">
        <f>IF(OR(C171="",H171=""),"",C171-H171)</f>
        <v/>
      </c>
      <c r="J171" s="18">
        <f>IF(I171="","",IF(I171&gt;=0.5,"⚠ переоценивает себя",IF(H171&lt;3,"низкий уровень","")))</f>
        <v/>
      </c>
    </row>
    <row r="172">
      <c r="A172" s="18" t="inlineStr">
        <is>
          <t>РП-5</t>
        </is>
      </c>
      <c r="B172" s="10" t="inlineStr">
        <is>
          <t>Создание карточки проекта</t>
        </is>
      </c>
      <c r="C172" s="19">
        <f>IF('Оценки'!K172="","",'Оценки'!K172)</f>
        <v/>
      </c>
      <c r="D172" s="19">
        <f>IF('Оценки'!C172="","",'Оценки'!C172)</f>
        <v/>
      </c>
      <c r="E172" s="19">
        <f>IF(COUNT('Оценки'!D172:F172)=0,"",AVERAGE('Оценки'!D172:F172))</f>
        <v/>
      </c>
      <c r="F172" s="19">
        <f>IF(COUNT('Оценки'!G172:I172)=0,"",AVERAGE('Оценки'!G172:I172))</f>
        <v/>
      </c>
      <c r="G172" s="19">
        <f>IF('Оценки'!J172="","",'Оценки'!J172)</f>
        <v/>
      </c>
      <c r="H172" s="19">
        <f>IF(COUNT(D172:G172)=0,"",AVERAGE(D172:G172))</f>
        <v/>
      </c>
      <c r="I172" s="19">
        <f>IF(OR(C172="",H172=""),"",C172-H172)</f>
        <v/>
      </c>
      <c r="J172" s="18">
        <f>IF(I172="","",IF(I172&gt;=0.5,"⚠ переоценивает себя",IF(H172&lt;3,"низкий уровень","")))</f>
        <v/>
      </c>
    </row>
    <row r="173">
      <c r="A173" s="18" t="inlineStr">
        <is>
          <t>РП-5</t>
        </is>
      </c>
      <c r="B173" s="10" t="inlineStr">
        <is>
          <t>Создание информационного центра проекта</t>
        </is>
      </c>
      <c r="C173" s="19">
        <f>IF('Оценки'!K173="","",'Оценки'!K173)</f>
        <v/>
      </c>
      <c r="D173" s="19">
        <f>IF('Оценки'!C173="","",'Оценки'!C173)</f>
        <v/>
      </c>
      <c r="E173" s="19">
        <f>IF(COUNT('Оценки'!D173:F173)=0,"",AVERAGE('Оценки'!D173:F173))</f>
        <v/>
      </c>
      <c r="F173" s="19">
        <f>IF(COUNT('Оценки'!G173:I173)=0,"",AVERAGE('Оценки'!G173:I173))</f>
        <v/>
      </c>
      <c r="G173" s="19">
        <f>IF('Оценки'!J173="","",'Оценки'!J173)</f>
        <v/>
      </c>
      <c r="H173" s="19">
        <f>IF(COUNT(D173:G173)=0,"",AVERAGE(D173:G173))</f>
        <v/>
      </c>
      <c r="I173" s="19">
        <f>IF(OR(C173="",H173=""),"",C173-H173)</f>
        <v/>
      </c>
      <c r="J173" s="18">
        <f>IF(I173="","",IF(I173&gt;=0.5,"⚠ переоценивает себя",IF(H173&lt;3,"низкий уровень","")))</f>
        <v/>
      </c>
    </row>
    <row r="174">
      <c r="A174" s="18" t="inlineStr">
        <is>
          <t>РП-5</t>
        </is>
      </c>
      <c r="B174" s="10" t="inlineStr">
        <is>
          <t>Создание эталонного участка</t>
        </is>
      </c>
      <c r="C174" s="19">
        <f>IF('Оценки'!K174="","",'Оценки'!K174)</f>
        <v/>
      </c>
      <c r="D174" s="19">
        <f>IF('Оценки'!C174="","",'Оценки'!C174)</f>
        <v/>
      </c>
      <c r="E174" s="19">
        <f>IF(COUNT('Оценки'!D174:F174)=0,"",AVERAGE('Оценки'!D174:F174))</f>
        <v/>
      </c>
      <c r="F174" s="19">
        <f>IF(COUNT('Оценки'!G174:I174)=0,"",AVERAGE('Оценки'!G174:I174))</f>
        <v/>
      </c>
      <c r="G174" s="19">
        <f>IF('Оценки'!J174="","",'Оценки'!J174)</f>
        <v/>
      </c>
      <c r="H174" s="19">
        <f>IF(COUNT(D174:G174)=0,"",AVERAGE(D174:G174))</f>
        <v/>
      </c>
      <c r="I174" s="19">
        <f>IF(OR(C174="",H174=""),"",C174-H174)</f>
        <v/>
      </c>
      <c r="J174" s="18">
        <f>IF(I174="","",IF(I174&gt;=0.5,"⚠ переоценивает себя",IF(H174&lt;3,"низкий уровень","")))</f>
        <v/>
      </c>
    </row>
    <row r="175">
      <c r="A175" s="18" t="inlineStr">
        <is>
          <t>РП-5</t>
        </is>
      </c>
      <c r="B175" s="10" t="inlineStr">
        <is>
          <t>Проведение оценки уровня развития производственной системы предприятия</t>
        </is>
      </c>
      <c r="C175" s="19">
        <f>IF('Оценки'!K175="","",'Оценки'!K175)</f>
        <v/>
      </c>
      <c r="D175" s="19">
        <f>IF('Оценки'!C175="","",'Оценки'!C175)</f>
        <v/>
      </c>
      <c r="E175" s="19">
        <f>IF(COUNT('Оценки'!D175:F175)=0,"",AVERAGE('Оценки'!D175:F175))</f>
        <v/>
      </c>
      <c r="F175" s="19">
        <f>IF(COUNT('Оценки'!G175:I175)=0,"",AVERAGE('Оценки'!G175:I175))</f>
        <v/>
      </c>
      <c r="G175" s="19">
        <f>IF('Оценки'!J175="","",'Оценки'!J175)</f>
        <v/>
      </c>
      <c r="H175" s="19">
        <f>IF(COUNT(D175:G175)=0,"",AVERAGE(D175:G175))</f>
        <v/>
      </c>
      <c r="I175" s="19">
        <f>IF(OR(C175="",H175=""),"",C175-H175)</f>
        <v/>
      </c>
      <c r="J175" s="18">
        <f>IF(I175="","",IF(I175&gt;=0.5,"⚠ переоценивает себя",IF(H175&lt;3,"низкий уровень","")))</f>
        <v/>
      </c>
    </row>
    <row r="176">
      <c r="A176" s="18" t="inlineStr">
        <is>
          <t>РП-5</t>
        </is>
      </c>
      <c r="B176" s="10" t="inlineStr">
        <is>
          <t>Внедрение информационных центров</t>
        </is>
      </c>
      <c r="C176" s="19">
        <f>IF('Оценки'!K176="","",'Оценки'!K176)</f>
        <v/>
      </c>
      <c r="D176" s="19">
        <f>IF('Оценки'!C176="","",'Оценки'!C176)</f>
        <v/>
      </c>
      <c r="E176" s="19">
        <f>IF(COUNT('Оценки'!D176:F176)=0,"",AVERAGE('Оценки'!D176:F176))</f>
        <v/>
      </c>
      <c r="F176" s="19">
        <f>IF(COUNT('Оценки'!G176:I176)=0,"",AVERAGE('Оценки'!G176:I176))</f>
        <v/>
      </c>
      <c r="G176" s="19">
        <f>IF('Оценки'!J176="","",'Оценки'!J176)</f>
        <v/>
      </c>
      <c r="H176" s="19">
        <f>IF(COUNT(D176:G176)=0,"",AVERAGE(D176:G176))</f>
        <v/>
      </c>
      <c r="I176" s="19">
        <f>IF(OR(C176="",H176=""),"",C176-H176)</f>
        <v/>
      </c>
      <c r="J176" s="18">
        <f>IF(I176="","",IF(I176&gt;=0.5,"⚠ переоценивает себя",IF(H176&lt;3,"низкий уровень","")))</f>
        <v/>
      </c>
    </row>
    <row r="177">
      <c r="A177" s="18" t="inlineStr">
        <is>
          <t>РП-5</t>
        </is>
      </c>
      <c r="B177" s="10" t="inlineStr">
        <is>
          <t>Подготовка к проведению тренингов</t>
        </is>
      </c>
      <c r="C177" s="19">
        <f>IF('Оценки'!K177="","",'Оценки'!K177)</f>
        <v/>
      </c>
      <c r="D177" s="19">
        <f>IF('Оценки'!C177="","",'Оценки'!C177)</f>
        <v/>
      </c>
      <c r="E177" s="19">
        <f>IF(COUNT('Оценки'!D177:F177)=0,"",AVERAGE('Оценки'!D177:F177))</f>
        <v/>
      </c>
      <c r="F177" s="19">
        <f>IF(COUNT('Оценки'!G177:I177)=0,"",AVERAGE('Оценки'!G177:I177))</f>
        <v/>
      </c>
      <c r="G177" s="19">
        <f>IF('Оценки'!J177="","",'Оценки'!J177)</f>
        <v/>
      </c>
      <c r="H177" s="19">
        <f>IF(COUNT(D177:G177)=0,"",AVERAGE(D177:G177))</f>
        <v/>
      </c>
      <c r="I177" s="19">
        <f>IF(OR(C177="",H177=""),"",C177-H177)</f>
        <v/>
      </c>
      <c r="J177" s="18">
        <f>IF(I177="","",IF(I177&gt;=0.5,"⚠ переоценивает себя",IF(H177&lt;3,"низкий уровень","")))</f>
        <v/>
      </c>
    </row>
    <row r="178">
      <c r="A178" s="18" t="inlineStr">
        <is>
          <t>РП-5</t>
        </is>
      </c>
      <c r="B178" s="10" t="inlineStr">
        <is>
          <t>Проведение тренингов по Бережливому производству</t>
        </is>
      </c>
      <c r="C178" s="19">
        <f>IF('Оценки'!K178="","",'Оценки'!K178)</f>
        <v/>
      </c>
      <c r="D178" s="19">
        <f>IF('Оценки'!C178="","",'Оценки'!C178)</f>
        <v/>
      </c>
      <c r="E178" s="19">
        <f>IF(COUNT('Оценки'!D178:F178)=0,"",AVERAGE('Оценки'!D178:F178))</f>
        <v/>
      </c>
      <c r="F178" s="19">
        <f>IF(COUNT('Оценки'!G178:I178)=0,"",AVERAGE('Оценки'!G178:I178))</f>
        <v/>
      </c>
      <c r="G178" s="19">
        <f>IF('Оценки'!J178="","",'Оценки'!J178)</f>
        <v/>
      </c>
      <c r="H178" s="19">
        <f>IF(COUNT(D178:G178)=0,"",AVERAGE(D178:G178))</f>
        <v/>
      </c>
      <c r="I178" s="19">
        <f>IF(OR(C178="",H178=""),"",C178-H178)</f>
        <v/>
      </c>
      <c r="J178" s="18">
        <f>IF(I178="","",IF(I178&gt;=0.5,"⚠ переоценивает себя",IF(H178&lt;3,"низкий уровень","")))</f>
        <v/>
      </c>
    </row>
    <row r="179">
      <c r="A179" s="18" t="inlineStr">
        <is>
          <t>РП-5</t>
        </is>
      </c>
      <c r="B179" s="10" t="inlineStr">
        <is>
          <t>Мониторинг проводимого обучения</t>
        </is>
      </c>
      <c r="C179" s="19">
        <f>IF('Оценки'!K179="","",'Оценки'!K179)</f>
        <v/>
      </c>
      <c r="D179" s="19">
        <f>IF('Оценки'!C179="","",'Оценки'!C179)</f>
        <v/>
      </c>
      <c r="E179" s="19">
        <f>IF(COUNT('Оценки'!D179:F179)=0,"",AVERAGE('Оценки'!D179:F179))</f>
        <v/>
      </c>
      <c r="F179" s="19">
        <f>IF(COUNT('Оценки'!G179:I179)=0,"",AVERAGE('Оценки'!G179:I179))</f>
        <v/>
      </c>
      <c r="G179" s="19">
        <f>IF('Оценки'!J179="","",'Оценки'!J179)</f>
        <v/>
      </c>
      <c r="H179" s="19">
        <f>IF(COUNT(D179:G179)=0,"",AVERAGE(D179:G179))</f>
        <v/>
      </c>
      <c r="I179" s="19">
        <f>IF(OR(C179="",H179=""),"",C179-H179)</f>
        <v/>
      </c>
      <c r="J179" s="18">
        <f>IF(I179="","",IF(I179&gt;=0.5,"⚠ переоценивает себя",IF(H179&lt;3,"низкий уровень","")))</f>
        <v/>
      </c>
    </row>
    <row r="180">
      <c r="A180" s="18" t="inlineStr">
        <is>
          <t>РП-5</t>
        </is>
      </c>
      <c r="B180" s="11" t="inlineStr">
        <is>
          <t>Картирование потоков и «Диаграмма спагетти»</t>
        </is>
      </c>
      <c r="C180" s="19">
        <f>IF('Оценки'!K180="","",'Оценки'!K180)</f>
        <v/>
      </c>
      <c r="D180" s="19">
        <f>IF('Оценки'!C180="","",'Оценки'!C180)</f>
        <v/>
      </c>
      <c r="E180" s="19">
        <f>IF(COUNT('Оценки'!D180:F180)=0,"",AVERAGE('Оценки'!D180:F180))</f>
        <v/>
      </c>
      <c r="F180" s="19">
        <f>IF(COUNT('Оценки'!G180:I180)=0,"",AVERAGE('Оценки'!G180:I180))</f>
        <v/>
      </c>
      <c r="G180" s="19">
        <f>IF('Оценки'!J180="","",'Оценки'!J180)</f>
        <v/>
      </c>
      <c r="H180" s="19">
        <f>IF(COUNT(D180:G180)=0,"",AVERAGE(D180:G180))</f>
        <v/>
      </c>
      <c r="I180" s="19">
        <f>IF(OR(C180="",H180=""),"",C180-H180)</f>
        <v/>
      </c>
      <c r="J180" s="18">
        <f>IF(I180="","",IF(I180&gt;=0.5,"⚠ переоценивает себя",IF(H180&lt;3,"низкий уровень","")))</f>
        <v/>
      </c>
    </row>
    <row r="181">
      <c r="A181" s="18" t="inlineStr">
        <is>
          <t>РП-5</t>
        </is>
      </c>
      <c r="B181" s="11" t="inlineStr">
        <is>
          <t>Производственный анализ</t>
        </is>
      </c>
      <c r="C181" s="19">
        <f>IF('Оценки'!K181="","",'Оценки'!K181)</f>
        <v/>
      </c>
      <c r="D181" s="19">
        <f>IF('Оценки'!C181="","",'Оценки'!C181)</f>
        <v/>
      </c>
      <c r="E181" s="19">
        <f>IF(COUNT('Оценки'!D181:F181)=0,"",AVERAGE('Оценки'!D181:F181))</f>
        <v/>
      </c>
      <c r="F181" s="19">
        <f>IF(COUNT('Оценки'!G181:I181)=0,"",AVERAGE('Оценки'!G181:I181))</f>
        <v/>
      </c>
      <c r="G181" s="19">
        <f>IF('Оценки'!J181="","",'Оценки'!J181)</f>
        <v/>
      </c>
      <c r="H181" s="19">
        <f>IF(COUNT(D181:G181)=0,"",AVERAGE(D181:G181))</f>
        <v/>
      </c>
      <c r="I181" s="19">
        <f>IF(OR(C181="",H181=""),"",C181-H181)</f>
        <v/>
      </c>
      <c r="J181" s="18">
        <f>IF(I181="","",IF(I181&gt;=0.5,"⚠ переоценивает себя",IF(H181&lt;3,"низкий уровень","")))</f>
        <v/>
      </c>
    </row>
    <row r="182">
      <c r="A182" s="18" t="inlineStr">
        <is>
          <t>РП-5</t>
        </is>
      </c>
      <c r="B182" s="11" t="inlineStr">
        <is>
          <t>Поток единичных изделий</t>
        </is>
      </c>
      <c r="C182" s="19">
        <f>IF('Оценки'!K182="","",'Оценки'!K182)</f>
        <v/>
      </c>
      <c r="D182" s="19">
        <f>IF('Оценки'!C182="","",'Оценки'!C182)</f>
        <v/>
      </c>
      <c r="E182" s="19">
        <f>IF(COUNT('Оценки'!D182:F182)=0,"",AVERAGE('Оценки'!D182:F182))</f>
        <v/>
      </c>
      <c r="F182" s="19">
        <f>IF(COUNT('Оценки'!G182:I182)=0,"",AVERAGE('Оценки'!G182:I182))</f>
        <v/>
      </c>
      <c r="G182" s="19">
        <f>IF('Оценки'!J182="","",'Оценки'!J182)</f>
        <v/>
      </c>
      <c r="H182" s="19">
        <f>IF(COUNT(D182:G182)=0,"",AVERAGE(D182:G182))</f>
        <v/>
      </c>
      <c r="I182" s="19">
        <f>IF(OR(C182="",H182=""),"",C182-H182)</f>
        <v/>
      </c>
      <c r="J182" s="18">
        <f>IF(I182="","",IF(I182&gt;=0.5,"⚠ переоценивает себя",IF(H182&lt;3,"низкий уровень","")))</f>
        <v/>
      </c>
    </row>
    <row r="183">
      <c r="A183" s="18" t="inlineStr">
        <is>
          <t>РП-5</t>
        </is>
      </c>
      <c r="B183" s="11" t="inlineStr">
        <is>
          <t>Система «Канбан»</t>
        </is>
      </c>
      <c r="C183" s="19">
        <f>IF('Оценки'!K183="","",'Оценки'!K183)</f>
        <v/>
      </c>
      <c r="D183" s="19">
        <f>IF('Оценки'!C183="","",'Оценки'!C183)</f>
        <v/>
      </c>
      <c r="E183" s="19">
        <f>IF(COUNT('Оценки'!D183:F183)=0,"",AVERAGE('Оценки'!D183:F183))</f>
        <v/>
      </c>
      <c r="F183" s="19">
        <f>IF(COUNT('Оценки'!G183:I183)=0,"",AVERAGE('Оценки'!G183:I183))</f>
        <v/>
      </c>
      <c r="G183" s="19">
        <f>IF('Оценки'!J183="","",'Оценки'!J183)</f>
        <v/>
      </c>
      <c r="H183" s="19">
        <f>IF(COUNT(D183:G183)=0,"",AVERAGE(D183:G183))</f>
        <v/>
      </c>
      <c r="I183" s="19">
        <f>IF(OR(C183="",H183=""),"",C183-H183)</f>
        <v/>
      </c>
      <c r="J183" s="18">
        <f>IF(I183="","",IF(I183&gt;=0.5,"⚠ переоценивает себя",IF(H183&lt;3,"низкий уровень","")))</f>
        <v/>
      </c>
    </row>
    <row r="184">
      <c r="A184" s="18" t="inlineStr">
        <is>
          <t>РП-5</t>
        </is>
      </c>
      <c r="B184" s="11" t="inlineStr">
        <is>
          <t>Стандартизированная работа</t>
        </is>
      </c>
      <c r="C184" s="19">
        <f>IF('Оценки'!K184="","",'Оценки'!K184)</f>
        <v/>
      </c>
      <c r="D184" s="19">
        <f>IF('Оценки'!C184="","",'Оценки'!C184)</f>
        <v/>
      </c>
      <c r="E184" s="19">
        <f>IF(COUNT('Оценки'!D184:F184)=0,"",AVERAGE('Оценки'!D184:F184))</f>
        <v/>
      </c>
      <c r="F184" s="19">
        <f>IF(COUNT('Оценки'!G184:I184)=0,"",AVERAGE('Оценки'!G184:I184))</f>
        <v/>
      </c>
      <c r="G184" s="19">
        <f>IF('Оценки'!J184="","",'Оценки'!J184)</f>
        <v/>
      </c>
      <c r="H184" s="19">
        <f>IF(COUNT(D184:G184)=0,"",AVERAGE(D184:G184))</f>
        <v/>
      </c>
      <c r="I184" s="19">
        <f>IF(OR(C184="",H184=""),"",C184-H184)</f>
        <v/>
      </c>
      <c r="J184" s="18">
        <f>IF(I184="","",IF(I184&gt;=0.5,"⚠ переоценивает себя",IF(H184&lt;3,"низкий уровень","")))</f>
        <v/>
      </c>
    </row>
    <row r="185">
      <c r="A185" s="18" t="inlineStr">
        <is>
          <t>РП-5</t>
        </is>
      </c>
      <c r="B185" s="11" t="inlineStr">
        <is>
          <t>Методы поиска первопричин и решения проблем</t>
        </is>
      </c>
      <c r="C185" s="19">
        <f>IF('Оценки'!K185="","",'Оценки'!K185)</f>
        <v/>
      </c>
      <c r="D185" s="19">
        <f>IF('Оценки'!C185="","",'Оценки'!C185)</f>
        <v/>
      </c>
      <c r="E185" s="19">
        <f>IF(COUNT('Оценки'!D185:F185)=0,"",AVERAGE('Оценки'!D185:F185))</f>
        <v/>
      </c>
      <c r="F185" s="19">
        <f>IF(COUNT('Оценки'!G185:I185)=0,"",AVERAGE('Оценки'!G185:I185))</f>
        <v/>
      </c>
      <c r="G185" s="19">
        <f>IF('Оценки'!J185="","",'Оценки'!J185)</f>
        <v/>
      </c>
      <c r="H185" s="19">
        <f>IF(COUNT(D185:G185)=0,"",AVERAGE(D185:G185))</f>
        <v/>
      </c>
      <c r="I185" s="19">
        <f>IF(OR(C185="",H185=""),"",C185-H185)</f>
        <v/>
      </c>
      <c r="J185" s="18">
        <f>IF(I185="","",IF(I185&gt;=0.5,"⚠ переоценивает себя",IF(H185&lt;3,"низкий уровень","")))</f>
        <v/>
      </c>
    </row>
    <row r="186">
      <c r="A186" s="18" t="inlineStr">
        <is>
          <t>РП-5</t>
        </is>
      </c>
      <c r="B186" s="11" t="inlineStr">
        <is>
          <t>Быстрая переналадка (SMED)</t>
        </is>
      </c>
      <c r="C186" s="19">
        <f>IF('Оценки'!K186="","",'Оценки'!K186)</f>
        <v/>
      </c>
      <c r="D186" s="19">
        <f>IF('Оценки'!C186="","",'Оценки'!C186)</f>
        <v/>
      </c>
      <c r="E186" s="19">
        <f>IF(COUNT('Оценки'!D186:F186)=0,"",AVERAGE('Оценки'!D186:F186))</f>
        <v/>
      </c>
      <c r="F186" s="19">
        <f>IF(COUNT('Оценки'!G186:I186)=0,"",AVERAGE('Оценки'!G186:I186))</f>
        <v/>
      </c>
      <c r="G186" s="19">
        <f>IF('Оценки'!J186="","",'Оценки'!J186)</f>
        <v/>
      </c>
      <c r="H186" s="19">
        <f>IF(COUNT(D186:G186)=0,"",AVERAGE(D186:G186))</f>
        <v/>
      </c>
      <c r="I186" s="19">
        <f>IF(OR(C186="",H186=""),"",C186-H186)</f>
        <v/>
      </c>
      <c r="J186" s="18">
        <f>IF(I186="","",IF(I186&gt;=0.5,"⚠ переоценивает себя",IF(H186&lt;3,"низкий уровень","")))</f>
        <v/>
      </c>
    </row>
    <row r="187">
      <c r="A187" s="18" t="inlineStr">
        <is>
          <t>РП-5</t>
        </is>
      </c>
      <c r="B187" s="11" t="inlineStr">
        <is>
          <t>«Poka-Yoke» (защита от ошибок)</t>
        </is>
      </c>
      <c r="C187" s="19">
        <f>IF('Оценки'!K187="","",'Оценки'!K187)</f>
        <v/>
      </c>
      <c r="D187" s="19">
        <f>IF('Оценки'!C187="","",'Оценки'!C187)</f>
        <v/>
      </c>
      <c r="E187" s="19">
        <f>IF(COUNT('Оценки'!D187:F187)=0,"",AVERAGE('Оценки'!D187:F187))</f>
        <v/>
      </c>
      <c r="F187" s="19">
        <f>IF(COUNT('Оценки'!G187:I187)=0,"",AVERAGE('Оценки'!G187:I187))</f>
        <v/>
      </c>
      <c r="G187" s="19">
        <f>IF('Оценки'!J187="","",'Оценки'!J187)</f>
        <v/>
      </c>
      <c r="H187" s="19">
        <f>IF(COUNT(D187:G187)=0,"",AVERAGE(D187:G187))</f>
        <v/>
      </c>
      <c r="I187" s="19">
        <f>IF(OR(C187="",H187=""),"",C187-H187)</f>
        <v/>
      </c>
      <c r="J187" s="18">
        <f>IF(I187="","",IF(I187&gt;=0.5,"⚠ переоценивает себя",IF(H187&lt;3,"низкий уровень","")))</f>
        <v/>
      </c>
    </row>
    <row r="188">
      <c r="A188" s="18" t="inlineStr">
        <is>
          <t>РП-5</t>
        </is>
      </c>
      <c r="B188" s="11" t="inlineStr">
        <is>
          <t>5С на производстве и в офисе</t>
        </is>
      </c>
      <c r="C188" s="19">
        <f>IF('Оценки'!K188="","",'Оценки'!K188)</f>
        <v/>
      </c>
      <c r="D188" s="19">
        <f>IF('Оценки'!C188="","",'Оценки'!C188)</f>
        <v/>
      </c>
      <c r="E188" s="19">
        <f>IF(COUNT('Оценки'!D188:F188)=0,"",AVERAGE('Оценки'!D188:F188))</f>
        <v/>
      </c>
      <c r="F188" s="19">
        <f>IF(COUNT('Оценки'!G188:I188)=0,"",AVERAGE('Оценки'!G188:I188))</f>
        <v/>
      </c>
      <c r="G188" s="19">
        <f>IF('Оценки'!J188="","",'Оценки'!J188)</f>
        <v/>
      </c>
      <c r="H188" s="19">
        <f>IF(COUNT(D188:G188)=0,"",AVERAGE(D188:G188))</f>
        <v/>
      </c>
      <c r="I188" s="19">
        <f>IF(OR(C188="",H188=""),"",C188-H188)</f>
        <v/>
      </c>
      <c r="J188" s="18">
        <f>IF(I188="","",IF(I188&gt;=0.5,"⚠ переоценивает себя",IF(H188&lt;3,"низкий уровень","")))</f>
        <v/>
      </c>
    </row>
    <row r="189">
      <c r="A189" s="18" t="inlineStr">
        <is>
          <t>РП-5</t>
        </is>
      </c>
      <c r="B189" s="11" t="inlineStr">
        <is>
          <t>ОЕЕ — анализ эффективности оборудования</t>
        </is>
      </c>
      <c r="C189" s="19">
        <f>IF('Оценки'!K189="","",'Оценки'!K189)</f>
        <v/>
      </c>
      <c r="D189" s="19">
        <f>IF('Оценки'!C189="","",'Оценки'!C189)</f>
        <v/>
      </c>
      <c r="E189" s="19">
        <f>IF(COUNT('Оценки'!D189:F189)=0,"",AVERAGE('Оценки'!D189:F189))</f>
        <v/>
      </c>
      <c r="F189" s="19">
        <f>IF(COUNT('Оценки'!G189:I189)=0,"",AVERAGE('Оценки'!G189:I189))</f>
        <v/>
      </c>
      <c r="G189" s="19">
        <f>IF('Оценки'!J189="","",'Оценки'!J189)</f>
        <v/>
      </c>
      <c r="H189" s="19">
        <f>IF(COUNT(D189:G189)=0,"",AVERAGE(D189:G189))</f>
        <v/>
      </c>
      <c r="I189" s="19">
        <f>IF(OR(C189="",H189=""),"",C189-H189)</f>
        <v/>
      </c>
      <c r="J189" s="18">
        <f>IF(I189="","",IF(I189&gt;=0.5,"⚠ переоценивает себя",IF(H189&lt;3,"низкий уровень","")))</f>
        <v/>
      </c>
    </row>
    <row r="190">
      <c r="A190" s="18" t="inlineStr">
        <is>
          <t>РП-5</t>
        </is>
      </c>
      <c r="B190" s="11" t="inlineStr">
        <is>
          <t>Автономное обслуживание оборудования</t>
        </is>
      </c>
      <c r="C190" s="19">
        <f>IF('Оценки'!K190="","",'Оценки'!K190)</f>
        <v/>
      </c>
      <c r="D190" s="19">
        <f>IF('Оценки'!C190="","",'Оценки'!C190)</f>
        <v/>
      </c>
      <c r="E190" s="19">
        <f>IF(COUNT('Оценки'!D190:F190)=0,"",AVERAGE('Оценки'!D190:F190))</f>
        <v/>
      </c>
      <c r="F190" s="19">
        <f>IF(COUNT('Оценки'!G190:I190)=0,"",AVERAGE('Оценки'!G190:I190))</f>
        <v/>
      </c>
      <c r="G190" s="19">
        <f>IF('Оценки'!J190="","",'Оценки'!J190)</f>
        <v/>
      </c>
      <c r="H190" s="19">
        <f>IF(COUNT(D190:G190)=0,"",AVERAGE(D190:G190))</f>
        <v/>
      </c>
      <c r="I190" s="19">
        <f>IF(OR(C190="",H190=""),"",C190-H190)</f>
        <v/>
      </c>
      <c r="J190" s="18">
        <f>IF(I190="","",IF(I190&gt;=0.5,"⚠ переоценивает себя",IF(H190&lt;3,"низкий уровень","")))</f>
        <v/>
      </c>
    </row>
    <row r="191">
      <c r="A191" s="18" t="inlineStr">
        <is>
          <t>РП-5</t>
        </is>
      </c>
      <c r="B191" s="11" t="inlineStr">
        <is>
          <t>Управление запасами</t>
        </is>
      </c>
      <c r="C191" s="19">
        <f>IF('Оценки'!K191="","",'Оценки'!K191)</f>
        <v/>
      </c>
      <c r="D191" s="19">
        <f>IF('Оценки'!C191="","",'Оценки'!C191)</f>
        <v/>
      </c>
      <c r="E191" s="19">
        <f>IF(COUNT('Оценки'!D191:F191)=0,"",AVERAGE('Оценки'!D191:F191))</f>
        <v/>
      </c>
      <c r="F191" s="19">
        <f>IF(COUNT('Оценки'!G191:I191)=0,"",AVERAGE('Оценки'!G191:I191))</f>
        <v/>
      </c>
      <c r="G191" s="19">
        <f>IF('Оценки'!J191="","",'Оценки'!J191)</f>
        <v/>
      </c>
      <c r="H191" s="19">
        <f>IF(COUNT(D191:G191)=0,"",AVERAGE(D191:G191))</f>
        <v/>
      </c>
      <c r="I191" s="19">
        <f>IF(OR(C191="",H191=""),"",C191-H191)</f>
        <v/>
      </c>
      <c r="J191" s="18">
        <f>IF(I191="","",IF(I191&gt;=0.5,"⚠ переоценивает себя",IF(H191&lt;3,"низкий уровень","")))</f>
        <v/>
      </c>
    </row>
    <row r="192">
      <c r="A192" s="18" t="inlineStr">
        <is>
          <t>РП-5</t>
        </is>
      </c>
      <c r="B192" s="12" t="inlineStr">
        <is>
          <t>Сбор и проверка данных от предприятий-участников, выработка корректирующих мероприятий</t>
        </is>
      </c>
      <c r="C192" s="19">
        <f>IF('Оценки'!K192="","",'Оценки'!K192)</f>
        <v/>
      </c>
      <c r="D192" s="19">
        <f>IF('Оценки'!C192="","",'Оценки'!C192)</f>
        <v/>
      </c>
      <c r="E192" s="19">
        <f>IF(COUNT('Оценки'!D192:F192)=0,"",AVERAGE('Оценки'!D192:F192))</f>
        <v/>
      </c>
      <c r="F192" s="19">
        <f>IF(COUNT('Оценки'!G192:I192)=0,"",AVERAGE('Оценки'!G192:I192))</f>
        <v/>
      </c>
      <c r="G192" s="19">
        <f>IF('Оценки'!J192="","",'Оценки'!J192)</f>
        <v/>
      </c>
      <c r="H192" s="19">
        <f>IF(COUNT(D192:G192)=0,"",AVERAGE(D192:G192))</f>
        <v/>
      </c>
      <c r="I192" s="19">
        <f>IF(OR(C192="",H192=""),"",C192-H192)</f>
        <v/>
      </c>
      <c r="J192" s="18">
        <f>IF(I192="","",IF(I192&gt;=0.5,"⚠ переоценивает себя",IF(H192&lt;3,"низкий уровень","")))</f>
        <v/>
      </c>
    </row>
    <row r="193">
      <c r="A193" s="18" t="inlineStr">
        <is>
          <t>РП-5</t>
        </is>
      </c>
      <c r="B193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193" s="19">
        <f>IF('Оценки'!K193="","",'Оценки'!K193)</f>
        <v/>
      </c>
      <c r="D193" s="19">
        <f>IF('Оценки'!C193="","",'Оценки'!C193)</f>
        <v/>
      </c>
      <c r="E193" s="19">
        <f>IF(COUNT('Оценки'!D193:F193)=0,"",AVERAGE('Оценки'!D193:F193))</f>
        <v/>
      </c>
      <c r="F193" s="19">
        <f>IF(COUNT('Оценки'!G193:I193)=0,"",AVERAGE('Оценки'!G193:I193))</f>
        <v/>
      </c>
      <c r="G193" s="19">
        <f>IF('Оценки'!J193="","",'Оценки'!J193)</f>
        <v/>
      </c>
      <c r="H193" s="19">
        <f>IF(COUNT(D193:G193)=0,"",AVERAGE(D193:G193))</f>
        <v/>
      </c>
      <c r="I193" s="19">
        <f>IF(OR(C193="",H193=""),"",C193-H193)</f>
        <v/>
      </c>
      <c r="J193" s="18">
        <f>IF(I193="","",IF(I193&gt;=0.5,"⚠ переоценивает себя",IF(H193&lt;3,"низкий уровень","")))</f>
        <v/>
      </c>
    </row>
    <row r="194">
      <c r="A194" s="18" t="inlineStr">
        <is>
          <t>РП-5</t>
        </is>
      </c>
      <c r="B194" s="12" t="inlineStr">
        <is>
          <t>Поиск и распространение лучших практик по производительности труда</t>
        </is>
      </c>
      <c r="C194" s="19">
        <f>IF('Оценки'!K194="","",'Оценки'!K194)</f>
        <v/>
      </c>
      <c r="D194" s="19">
        <f>IF('Оценки'!C194="","",'Оценки'!C194)</f>
        <v/>
      </c>
      <c r="E194" s="19">
        <f>IF(COUNT('Оценки'!D194:F194)=0,"",AVERAGE('Оценки'!D194:F194))</f>
        <v/>
      </c>
      <c r="F194" s="19">
        <f>IF(COUNT('Оценки'!G194:I194)=0,"",AVERAGE('Оценки'!G194:I194))</f>
        <v/>
      </c>
      <c r="G194" s="19">
        <f>IF('Оценки'!J194="","",'Оценки'!J194)</f>
        <v/>
      </c>
      <c r="H194" s="19">
        <f>IF(COUNT(D194:G194)=0,"",AVERAGE(D194:G194))</f>
        <v/>
      </c>
      <c r="I194" s="19">
        <f>IF(OR(C194="",H194=""),"",C194-H194)</f>
        <v/>
      </c>
      <c r="J194" s="18">
        <f>IF(I194="","",IF(I194&gt;=0.5,"⚠ переоценивает себя",IF(H194&lt;3,"низкий уровень","")))</f>
        <v/>
      </c>
    </row>
    <row r="195">
      <c r="A195" s="18" t="inlineStr">
        <is>
          <t>РП-5</t>
        </is>
      </c>
      <c r="B195" s="12" t="inlineStr">
        <is>
          <t>Организация работы с предложениями по улучшению (ППУ)</t>
        </is>
      </c>
      <c r="C195" s="19">
        <f>IF('Оценки'!K195="","",'Оценки'!K195)</f>
        <v/>
      </c>
      <c r="D195" s="19">
        <f>IF('Оценки'!C195="","",'Оценки'!C195)</f>
        <v/>
      </c>
      <c r="E195" s="19">
        <f>IF(COUNT('Оценки'!D195:F195)=0,"",AVERAGE('Оценки'!D195:F195))</f>
        <v/>
      </c>
      <c r="F195" s="19">
        <f>IF(COUNT('Оценки'!G195:I195)=0,"",AVERAGE('Оценки'!G195:I195))</f>
        <v/>
      </c>
      <c r="G195" s="19">
        <f>IF('Оценки'!J195="","",'Оценки'!J195)</f>
        <v/>
      </c>
      <c r="H195" s="19">
        <f>IF(COUNT(D195:G195)=0,"",AVERAGE(D195:G195))</f>
        <v/>
      </c>
      <c r="I195" s="19">
        <f>IF(OR(C195="",H195=""),"",C195-H195)</f>
        <v/>
      </c>
      <c r="J195" s="18">
        <f>IF(I195="","",IF(I195&gt;=0.5,"⚠ переоценивает себя",IF(H195&lt;3,"низкий уровень","")))</f>
        <v/>
      </c>
    </row>
    <row r="196">
      <c r="A196" s="18" t="inlineStr">
        <is>
          <t>РП-5</t>
        </is>
      </c>
      <c r="B196" s="12" t="inlineStr">
        <is>
          <t>Ведение мониторинга проектов в подсистеме «Совместная работа» на ИТ-платформе</t>
        </is>
      </c>
      <c r="C196" s="19">
        <f>IF('Оценки'!K196="","",'Оценки'!K196)</f>
        <v/>
      </c>
      <c r="D196" s="19">
        <f>IF('Оценки'!C196="","",'Оценки'!C196)</f>
        <v/>
      </c>
      <c r="E196" s="19">
        <f>IF(COUNT('Оценки'!D196:F196)=0,"",AVERAGE('Оценки'!D196:F196))</f>
        <v/>
      </c>
      <c r="F196" s="19">
        <f>IF(COUNT('Оценки'!G196:I196)=0,"",AVERAGE('Оценки'!G196:I196))</f>
        <v/>
      </c>
      <c r="G196" s="19">
        <f>IF('Оценки'!J196="","",'Оценки'!J196)</f>
        <v/>
      </c>
      <c r="H196" s="19">
        <f>IF(COUNT(D196:G196)=0,"",AVERAGE(D196:G196))</f>
        <v/>
      </c>
      <c r="I196" s="19">
        <f>IF(OR(C196="",H196=""),"",C196-H196)</f>
        <v/>
      </c>
      <c r="J196" s="18">
        <f>IF(I196="","",IF(I196&gt;=0.5,"⚠ переоценивает себя",IF(H196&lt;3,"низкий уровень","")))</f>
        <v/>
      </c>
    </row>
    <row r="197">
      <c r="A197" s="20" t="inlineStr">
        <is>
          <t>РП-5</t>
        </is>
      </c>
      <c r="B197" s="20" t="inlineStr">
        <is>
          <t>ИТОГО (среднее по всем компетенциям)</t>
        </is>
      </c>
      <c r="C197" s="21">
        <f>IF(COUNT(C160:C196)=0,"",AVERAGE(C160:C196))</f>
        <v/>
      </c>
      <c r="D197" s="21">
        <f>IF(COUNT(D160:D196)=0,"",AVERAGE(D160:D196))</f>
        <v/>
      </c>
      <c r="E197" s="21">
        <f>IF(COUNT(E160:E196)=0,"",AVERAGE(E160:E196))</f>
        <v/>
      </c>
      <c r="F197" s="21">
        <f>IF(COUNT(F160:F196)=0,"",AVERAGE(F160:F196))</f>
        <v/>
      </c>
      <c r="G197" s="21">
        <f>IF(COUNT(G160:G196)=0,"",AVERAGE(G160:G196))</f>
        <v/>
      </c>
      <c r="H197" s="21">
        <f>IF(COUNT(H160:H196)=0,"",AVERAGE(H160:H196))</f>
        <v/>
      </c>
      <c r="I197" s="21">
        <f>IF(OR(C197="",H197=""),"",C197-H197)</f>
        <v/>
      </c>
      <c r="J197" s="20">
        <f>IF(I197="","",IF(I197&gt;=0.5,"⚠ переоценивает себя",IF(H197&lt;3,"низкий уровень","")))</f>
        <v/>
      </c>
    </row>
    <row r="198">
      <c r="A198" s="18" t="n"/>
      <c r="B198" s="18" t="n"/>
      <c r="C198" s="19" t="n"/>
      <c r="D198" s="19" t="n"/>
      <c r="E198" s="19" t="n"/>
      <c r="F198" s="19" t="n"/>
      <c r="G198" s="19" t="n"/>
      <c r="H198" s="19" t="n"/>
      <c r="I198" s="19" t="n"/>
      <c r="J198" s="18" t="n"/>
    </row>
    <row r="199">
      <c r="A199" s="18" t="inlineStr">
        <is>
          <t>РП-6</t>
        </is>
      </c>
      <c r="B199" s="8" t="inlineStr">
        <is>
          <t>Проведение оценки на соответствие предприятия обязательным критериям</t>
        </is>
      </c>
      <c r="C199" s="19">
        <f>IF('Оценки'!K199="","",'Оценки'!K199)</f>
        <v/>
      </c>
      <c r="D199" s="19">
        <f>IF('Оценки'!C199="","",'Оценки'!C199)</f>
        <v/>
      </c>
      <c r="E199" s="19">
        <f>IF(COUNT('Оценки'!D199:F199)=0,"",AVERAGE('Оценки'!D199:F199))</f>
        <v/>
      </c>
      <c r="F199" s="19">
        <f>IF(COUNT('Оценки'!G199:I199)=0,"",AVERAGE('Оценки'!G199:I199))</f>
        <v/>
      </c>
      <c r="G199" s="19">
        <f>IF('Оценки'!J199="","",'Оценки'!J199)</f>
        <v/>
      </c>
      <c r="H199" s="19">
        <f>IF(COUNT(D199:G199)=0,"",AVERAGE(D199:G199))</f>
        <v/>
      </c>
      <c r="I199" s="19">
        <f>IF(OR(C199="",H199=""),"",C199-H199)</f>
        <v/>
      </c>
      <c r="J199" s="18">
        <f>IF(I199="","",IF(I199&gt;=0.5,"⚠ переоценивает себя",IF(H199&lt;3,"низкий уровень","")))</f>
        <v/>
      </c>
    </row>
    <row r="200">
      <c r="A200" s="18" t="inlineStr">
        <is>
          <t>РП-6</t>
        </is>
      </c>
      <c r="B200" s="8" t="inlineStr">
        <is>
          <t>Проведение оценки готовности руководства предприятия к участию в проекте (интервью)</t>
        </is>
      </c>
      <c r="C200" s="19">
        <f>IF('Оценки'!K200="","",'Оценки'!K200)</f>
        <v/>
      </c>
      <c r="D200" s="19">
        <f>IF('Оценки'!C200="","",'Оценки'!C200)</f>
        <v/>
      </c>
      <c r="E200" s="19">
        <f>IF(COUNT('Оценки'!D200:F200)=0,"",AVERAGE('Оценки'!D200:F200))</f>
        <v/>
      </c>
      <c r="F200" s="19">
        <f>IF(COUNT('Оценки'!G200:I200)=0,"",AVERAGE('Оценки'!G200:I200))</f>
        <v/>
      </c>
      <c r="G200" s="19">
        <f>IF('Оценки'!J200="","",'Оценки'!J200)</f>
        <v/>
      </c>
      <c r="H200" s="19">
        <f>IF(COUNT(D200:G200)=0,"",AVERAGE(D200:G200))</f>
        <v/>
      </c>
      <c r="I200" s="19">
        <f>IF(OR(C200="",H200=""),"",C200-H200)</f>
        <v/>
      </c>
      <c r="J200" s="18">
        <f>IF(I200="","",IF(I200&gt;=0.5,"⚠ переоценивает себя",IF(H200&lt;3,"низкий уровень","")))</f>
        <v/>
      </c>
    </row>
    <row r="201">
      <c r="A201" s="18" t="inlineStr">
        <is>
          <t>РП-6</t>
        </is>
      </c>
      <c r="B201" s="8" t="inlineStr">
        <is>
          <t>Проведение визуальной оценки производственного процесса на предприятии (визит на площадку)</t>
        </is>
      </c>
      <c r="C201" s="19">
        <f>IF('Оценки'!K201="","",'Оценки'!K201)</f>
        <v/>
      </c>
      <c r="D201" s="19">
        <f>IF('Оценки'!C201="","",'Оценки'!C201)</f>
        <v/>
      </c>
      <c r="E201" s="19">
        <f>IF(COUNT('Оценки'!D201:F201)=0,"",AVERAGE('Оценки'!D201:F201))</f>
        <v/>
      </c>
      <c r="F201" s="19">
        <f>IF(COUNT('Оценки'!G201:I201)=0,"",AVERAGE('Оценки'!G201:I201))</f>
        <v/>
      </c>
      <c r="G201" s="19">
        <f>IF('Оценки'!J201="","",'Оценки'!J201)</f>
        <v/>
      </c>
      <c r="H201" s="19">
        <f>IF(COUNT(D201:G201)=0,"",AVERAGE(D201:G201))</f>
        <v/>
      </c>
      <c r="I201" s="19">
        <f>IF(OR(C201="",H201=""),"",C201-H201)</f>
        <v/>
      </c>
      <c r="J201" s="18">
        <f>IF(I201="","",IF(I201&gt;=0.5,"⚠ переоценивает себя",IF(H201&lt;3,"низкий уровень","")))</f>
        <v/>
      </c>
    </row>
    <row r="202">
      <c r="A202" s="18" t="inlineStr">
        <is>
          <t>РП-6</t>
        </is>
      </c>
      <c r="B202" s="8" t="inlineStr">
        <is>
          <t>Вовлечение руководства предприятий в федеральный проект</t>
        </is>
      </c>
      <c r="C202" s="19">
        <f>IF('Оценки'!K202="","",'Оценки'!K202)</f>
        <v/>
      </c>
      <c r="D202" s="19">
        <f>IF('Оценки'!C202="","",'Оценки'!C202)</f>
        <v/>
      </c>
      <c r="E202" s="19">
        <f>IF(COUNT('Оценки'!D202:F202)=0,"",AVERAGE('Оценки'!D202:F202))</f>
        <v/>
      </c>
      <c r="F202" s="19">
        <f>IF(COUNT('Оценки'!G202:I202)=0,"",AVERAGE('Оценки'!G202:I202))</f>
        <v/>
      </c>
      <c r="G202" s="19">
        <f>IF('Оценки'!J202="","",'Оценки'!J202)</f>
        <v/>
      </c>
      <c r="H202" s="19">
        <f>IF(COUNT(D202:G202)=0,"",AVERAGE(D202:G202))</f>
        <v/>
      </c>
      <c r="I202" s="19">
        <f>IF(OR(C202="",H202=""),"",C202-H202)</f>
        <v/>
      </c>
      <c r="J202" s="18">
        <f>IF(I202="","",IF(I202&gt;=0.5,"⚠ переоценивает себя",IF(H202&lt;3,"низкий уровень","")))</f>
        <v/>
      </c>
    </row>
    <row r="203">
      <c r="A203" s="18" t="inlineStr">
        <is>
          <t>РП-6</t>
        </is>
      </c>
      <c r="B203" s="8" t="inlineStr">
        <is>
          <t>Подписание соглашения о сотрудничестве между РЦК и предприятием</t>
        </is>
      </c>
      <c r="C203" s="19">
        <f>IF('Оценки'!K203="","",'Оценки'!K203)</f>
        <v/>
      </c>
      <c r="D203" s="19">
        <f>IF('Оценки'!C203="","",'Оценки'!C203)</f>
        <v/>
      </c>
      <c r="E203" s="19">
        <f>IF(COUNT('Оценки'!D203:F203)=0,"",AVERAGE('Оценки'!D203:F203))</f>
        <v/>
      </c>
      <c r="F203" s="19">
        <f>IF(COUNT('Оценки'!G203:I203)=0,"",AVERAGE('Оценки'!G203:I203))</f>
        <v/>
      </c>
      <c r="G203" s="19">
        <f>IF('Оценки'!J203="","",'Оценки'!J203)</f>
        <v/>
      </c>
      <c r="H203" s="19">
        <f>IF(COUNT(D203:G203)=0,"",AVERAGE(D203:G203))</f>
        <v/>
      </c>
      <c r="I203" s="19">
        <f>IF(OR(C203="",H203=""),"",C203-H203)</f>
        <v/>
      </c>
      <c r="J203" s="18">
        <f>IF(I203="","",IF(I203&gt;=0.5,"⚠ переоценивает себя",IF(H203&lt;3,"низкий уровень","")))</f>
        <v/>
      </c>
    </row>
    <row r="204">
      <c r="A204" s="18" t="inlineStr">
        <is>
          <t>РП-6</t>
        </is>
      </c>
      <c r="B204" s="10" t="inlineStr">
        <is>
          <t>Реализация организационных вех программы</t>
        </is>
      </c>
      <c r="C204" s="19">
        <f>IF('Оценки'!K204="","",'Оценки'!K204)</f>
        <v/>
      </c>
      <c r="D204" s="19">
        <f>IF('Оценки'!C204="","",'Оценки'!C204)</f>
        <v/>
      </c>
      <c r="E204" s="19">
        <f>IF(COUNT('Оценки'!D204:F204)=0,"",AVERAGE('Оценки'!D204:F204))</f>
        <v/>
      </c>
      <c r="F204" s="19">
        <f>IF(COUNT('Оценки'!G204:I204)=0,"",AVERAGE('Оценки'!G204:I204))</f>
        <v/>
      </c>
      <c r="G204" s="19">
        <f>IF('Оценки'!J204="","",'Оценки'!J204)</f>
        <v/>
      </c>
      <c r="H204" s="19">
        <f>IF(COUNT(D204:G204)=0,"",AVERAGE(D204:G204))</f>
        <v/>
      </c>
      <c r="I204" s="19">
        <f>IF(OR(C204="",H204=""),"",C204-H204)</f>
        <v/>
      </c>
      <c r="J204" s="18">
        <f>IF(I204="","",IF(I204&gt;=0.5,"⚠ переоценивает себя",IF(H204&lt;3,"низкий уровень","")))</f>
        <v/>
      </c>
    </row>
    <row r="205">
      <c r="A205" s="18" t="inlineStr">
        <is>
          <t>РП-6</t>
        </is>
      </c>
      <c r="B205" s="10" t="inlineStr">
        <is>
          <t>Формирование проектного офиса</t>
        </is>
      </c>
      <c r="C205" s="19">
        <f>IF('Оценки'!K205="","",'Оценки'!K205)</f>
        <v/>
      </c>
      <c r="D205" s="19">
        <f>IF('Оценки'!C205="","",'Оценки'!C205)</f>
        <v/>
      </c>
      <c r="E205" s="19">
        <f>IF(COUNT('Оценки'!D205:F205)=0,"",AVERAGE('Оценки'!D205:F205))</f>
        <v/>
      </c>
      <c r="F205" s="19">
        <f>IF(COUNT('Оценки'!G205:I205)=0,"",AVERAGE('Оценки'!G205:I205))</f>
        <v/>
      </c>
      <c r="G205" s="19">
        <f>IF('Оценки'!J205="","",'Оценки'!J205)</f>
        <v/>
      </c>
      <c r="H205" s="19">
        <f>IF(COUNT(D205:G205)=0,"",AVERAGE(D205:G205))</f>
        <v/>
      </c>
      <c r="I205" s="19">
        <f>IF(OR(C205="",H205=""),"",C205-H205)</f>
        <v/>
      </c>
      <c r="J205" s="18">
        <f>IF(I205="","",IF(I205&gt;=0.5,"⚠ переоценивает себя",IF(H205&lt;3,"низкий уровень","")))</f>
        <v/>
      </c>
    </row>
    <row r="206">
      <c r="A206" s="18" t="inlineStr">
        <is>
          <t>РП-6</t>
        </is>
      </c>
      <c r="B206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206" s="19">
        <f>IF('Оценки'!K206="","",'Оценки'!K206)</f>
        <v/>
      </c>
      <c r="D206" s="19">
        <f>IF('Оценки'!C206="","",'Оценки'!C206)</f>
        <v/>
      </c>
      <c r="E206" s="19">
        <f>IF(COUNT('Оценки'!D206:F206)=0,"",AVERAGE('Оценки'!D206:F206))</f>
        <v/>
      </c>
      <c r="F206" s="19">
        <f>IF(COUNT('Оценки'!G206:I206)=0,"",AVERAGE('Оценки'!G206:I206))</f>
        <v/>
      </c>
      <c r="G206" s="19">
        <f>IF('Оценки'!J206="","",'Оценки'!J206)</f>
        <v/>
      </c>
      <c r="H206" s="19">
        <f>IF(COUNT(D206:G206)=0,"",AVERAGE(D206:G206))</f>
        <v/>
      </c>
      <c r="I206" s="19">
        <f>IF(OR(C206="",H206=""),"",C206-H206)</f>
        <v/>
      </c>
      <c r="J206" s="18">
        <f>IF(I206="","",IF(I206&gt;=0.5,"⚠ переоценивает себя",IF(H206&lt;3,"низкий уровень","")))</f>
        <v/>
      </c>
    </row>
    <row r="207">
      <c r="A207" s="18" t="inlineStr">
        <is>
          <t>РП-6</t>
        </is>
      </c>
      <c r="B207" s="10" t="inlineStr">
        <is>
          <t>Выявление степени готовности предприятия к изменениям</t>
        </is>
      </c>
      <c r="C207" s="19">
        <f>IF('Оценки'!K207="","",'Оценки'!K207)</f>
        <v/>
      </c>
      <c r="D207" s="19">
        <f>IF('Оценки'!C207="","",'Оценки'!C207)</f>
        <v/>
      </c>
      <c r="E207" s="19">
        <f>IF(COUNT('Оценки'!D207:F207)=0,"",AVERAGE('Оценки'!D207:F207))</f>
        <v/>
      </c>
      <c r="F207" s="19">
        <f>IF(COUNT('Оценки'!G207:I207)=0,"",AVERAGE('Оценки'!G207:I207))</f>
        <v/>
      </c>
      <c r="G207" s="19">
        <f>IF('Оценки'!J207="","",'Оценки'!J207)</f>
        <v/>
      </c>
      <c r="H207" s="19">
        <f>IF(COUNT(D207:G207)=0,"",AVERAGE(D207:G207))</f>
        <v/>
      </c>
      <c r="I207" s="19">
        <f>IF(OR(C207="",H207=""),"",C207-H207)</f>
        <v/>
      </c>
      <c r="J207" s="18">
        <f>IF(I207="","",IF(I207&gt;=0.5,"⚠ переоценивает себя",IF(H207&lt;3,"низкий уровень","")))</f>
        <v/>
      </c>
    </row>
    <row r="208">
      <c r="A208" s="18" t="inlineStr">
        <is>
          <t>РП-6</t>
        </is>
      </c>
      <c r="B208" s="10" t="inlineStr">
        <is>
          <t>Составление плана ключевых событий</t>
        </is>
      </c>
      <c r="C208" s="19">
        <f>IF('Оценки'!K208="","",'Оценки'!K208)</f>
        <v/>
      </c>
      <c r="D208" s="19">
        <f>IF('Оценки'!C208="","",'Оценки'!C208)</f>
        <v/>
      </c>
      <c r="E208" s="19">
        <f>IF(COUNT('Оценки'!D208:F208)=0,"",AVERAGE('Оценки'!D208:F208))</f>
        <v/>
      </c>
      <c r="F208" s="19">
        <f>IF(COUNT('Оценки'!G208:I208)=0,"",AVERAGE('Оценки'!G208:I208))</f>
        <v/>
      </c>
      <c r="G208" s="19">
        <f>IF('Оценки'!J208="","",'Оценки'!J208)</f>
        <v/>
      </c>
      <c r="H208" s="19">
        <f>IF(COUNT(D208:G208)=0,"",AVERAGE(D208:G208))</f>
        <v/>
      </c>
      <c r="I208" s="19">
        <f>IF(OR(C208="",H208=""),"",C208-H208)</f>
        <v/>
      </c>
      <c r="J208" s="18">
        <f>IF(I208="","",IF(I208&gt;=0.5,"⚠ переоценивает себя",IF(H208&lt;3,"низкий уровень","")))</f>
        <v/>
      </c>
    </row>
    <row r="209">
      <c r="A209" s="18" t="inlineStr">
        <is>
          <t>РП-6</t>
        </is>
      </c>
      <c r="B209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209" s="19">
        <f>IF('Оценки'!K209="","",'Оценки'!K209)</f>
        <v/>
      </c>
      <c r="D209" s="19">
        <f>IF('Оценки'!C209="","",'Оценки'!C209)</f>
        <v/>
      </c>
      <c r="E209" s="19">
        <f>IF(COUNT('Оценки'!D209:F209)=0,"",AVERAGE('Оценки'!D209:F209))</f>
        <v/>
      </c>
      <c r="F209" s="19">
        <f>IF(COUNT('Оценки'!G209:I209)=0,"",AVERAGE('Оценки'!G209:I209))</f>
        <v/>
      </c>
      <c r="G209" s="19">
        <f>IF('Оценки'!J209="","",'Оценки'!J209)</f>
        <v/>
      </c>
      <c r="H209" s="19">
        <f>IF(COUNT(D209:G209)=0,"",AVERAGE(D209:G209))</f>
        <v/>
      </c>
      <c r="I209" s="19">
        <f>IF(OR(C209="",H209=""),"",C209-H209)</f>
        <v/>
      </c>
      <c r="J209" s="18">
        <f>IF(I209="","",IF(I209&gt;=0.5,"⚠ переоценивает себя",IF(H209&lt;3,"низкий уровень","")))</f>
        <v/>
      </c>
    </row>
    <row r="210">
      <c r="A210" s="18" t="inlineStr">
        <is>
          <t>РП-6</t>
        </is>
      </c>
      <c r="B210" s="10" t="inlineStr">
        <is>
          <t>Проведение анализа показателей проектов повышения производительности труда</t>
        </is>
      </c>
      <c r="C210" s="19">
        <f>IF('Оценки'!K210="","",'Оценки'!K210)</f>
        <v/>
      </c>
      <c r="D210" s="19">
        <f>IF('Оценки'!C210="","",'Оценки'!C210)</f>
        <v/>
      </c>
      <c r="E210" s="19">
        <f>IF(COUNT('Оценки'!D210:F210)=0,"",AVERAGE('Оценки'!D210:F210))</f>
        <v/>
      </c>
      <c r="F210" s="19">
        <f>IF(COUNT('Оценки'!G210:I210)=0,"",AVERAGE('Оценки'!G210:I210))</f>
        <v/>
      </c>
      <c r="G210" s="19">
        <f>IF('Оценки'!J210="","",'Оценки'!J210)</f>
        <v/>
      </c>
      <c r="H210" s="19">
        <f>IF(COUNT(D210:G210)=0,"",AVERAGE(D210:G210))</f>
        <v/>
      </c>
      <c r="I210" s="19">
        <f>IF(OR(C210="",H210=""),"",C210-H210)</f>
        <v/>
      </c>
      <c r="J210" s="18">
        <f>IF(I210="","",IF(I210&gt;=0.5,"⚠ переоценивает себя",IF(H210&lt;3,"низкий уровень","")))</f>
        <v/>
      </c>
    </row>
    <row r="211">
      <c r="A211" s="18" t="inlineStr">
        <is>
          <t>РП-6</t>
        </is>
      </c>
      <c r="B211" s="10" t="inlineStr">
        <is>
          <t>Создание карточки проекта</t>
        </is>
      </c>
      <c r="C211" s="19">
        <f>IF('Оценки'!K211="","",'Оценки'!K211)</f>
        <v/>
      </c>
      <c r="D211" s="19">
        <f>IF('Оценки'!C211="","",'Оценки'!C211)</f>
        <v/>
      </c>
      <c r="E211" s="19">
        <f>IF(COUNT('Оценки'!D211:F211)=0,"",AVERAGE('Оценки'!D211:F211))</f>
        <v/>
      </c>
      <c r="F211" s="19">
        <f>IF(COUNT('Оценки'!G211:I211)=0,"",AVERAGE('Оценки'!G211:I211))</f>
        <v/>
      </c>
      <c r="G211" s="19">
        <f>IF('Оценки'!J211="","",'Оценки'!J211)</f>
        <v/>
      </c>
      <c r="H211" s="19">
        <f>IF(COUNT(D211:G211)=0,"",AVERAGE(D211:G211))</f>
        <v/>
      </c>
      <c r="I211" s="19">
        <f>IF(OR(C211="",H211=""),"",C211-H211)</f>
        <v/>
      </c>
      <c r="J211" s="18">
        <f>IF(I211="","",IF(I211&gt;=0.5,"⚠ переоценивает себя",IF(H211&lt;3,"низкий уровень","")))</f>
        <v/>
      </c>
    </row>
    <row r="212">
      <c r="A212" s="18" t="inlineStr">
        <is>
          <t>РП-6</t>
        </is>
      </c>
      <c r="B212" s="10" t="inlineStr">
        <is>
          <t>Создание информационного центра проекта</t>
        </is>
      </c>
      <c r="C212" s="19">
        <f>IF('Оценки'!K212="","",'Оценки'!K212)</f>
        <v/>
      </c>
      <c r="D212" s="19">
        <f>IF('Оценки'!C212="","",'Оценки'!C212)</f>
        <v/>
      </c>
      <c r="E212" s="19">
        <f>IF(COUNT('Оценки'!D212:F212)=0,"",AVERAGE('Оценки'!D212:F212))</f>
        <v/>
      </c>
      <c r="F212" s="19">
        <f>IF(COUNT('Оценки'!G212:I212)=0,"",AVERAGE('Оценки'!G212:I212))</f>
        <v/>
      </c>
      <c r="G212" s="19">
        <f>IF('Оценки'!J212="","",'Оценки'!J212)</f>
        <v/>
      </c>
      <c r="H212" s="19">
        <f>IF(COUNT(D212:G212)=0,"",AVERAGE(D212:G212))</f>
        <v/>
      </c>
      <c r="I212" s="19">
        <f>IF(OR(C212="",H212=""),"",C212-H212)</f>
        <v/>
      </c>
      <c r="J212" s="18">
        <f>IF(I212="","",IF(I212&gt;=0.5,"⚠ переоценивает себя",IF(H212&lt;3,"низкий уровень","")))</f>
        <v/>
      </c>
    </row>
    <row r="213">
      <c r="A213" s="18" t="inlineStr">
        <is>
          <t>РП-6</t>
        </is>
      </c>
      <c r="B213" s="10" t="inlineStr">
        <is>
          <t>Создание эталонного участка</t>
        </is>
      </c>
      <c r="C213" s="19">
        <f>IF('Оценки'!K213="","",'Оценки'!K213)</f>
        <v/>
      </c>
      <c r="D213" s="19">
        <f>IF('Оценки'!C213="","",'Оценки'!C213)</f>
        <v/>
      </c>
      <c r="E213" s="19">
        <f>IF(COUNT('Оценки'!D213:F213)=0,"",AVERAGE('Оценки'!D213:F213))</f>
        <v/>
      </c>
      <c r="F213" s="19">
        <f>IF(COUNT('Оценки'!G213:I213)=0,"",AVERAGE('Оценки'!G213:I213))</f>
        <v/>
      </c>
      <c r="G213" s="19">
        <f>IF('Оценки'!J213="","",'Оценки'!J213)</f>
        <v/>
      </c>
      <c r="H213" s="19">
        <f>IF(COUNT(D213:G213)=0,"",AVERAGE(D213:G213))</f>
        <v/>
      </c>
      <c r="I213" s="19">
        <f>IF(OR(C213="",H213=""),"",C213-H213)</f>
        <v/>
      </c>
      <c r="J213" s="18">
        <f>IF(I213="","",IF(I213&gt;=0.5,"⚠ переоценивает себя",IF(H213&lt;3,"низкий уровень","")))</f>
        <v/>
      </c>
    </row>
    <row r="214">
      <c r="A214" s="18" t="inlineStr">
        <is>
          <t>РП-6</t>
        </is>
      </c>
      <c r="B214" s="10" t="inlineStr">
        <is>
          <t>Проведение оценки уровня развития производственной системы предприятия</t>
        </is>
      </c>
      <c r="C214" s="19">
        <f>IF('Оценки'!K214="","",'Оценки'!K214)</f>
        <v/>
      </c>
      <c r="D214" s="19">
        <f>IF('Оценки'!C214="","",'Оценки'!C214)</f>
        <v/>
      </c>
      <c r="E214" s="19">
        <f>IF(COUNT('Оценки'!D214:F214)=0,"",AVERAGE('Оценки'!D214:F214))</f>
        <v/>
      </c>
      <c r="F214" s="19">
        <f>IF(COUNT('Оценки'!G214:I214)=0,"",AVERAGE('Оценки'!G214:I214))</f>
        <v/>
      </c>
      <c r="G214" s="19">
        <f>IF('Оценки'!J214="","",'Оценки'!J214)</f>
        <v/>
      </c>
      <c r="H214" s="19">
        <f>IF(COUNT(D214:G214)=0,"",AVERAGE(D214:G214))</f>
        <v/>
      </c>
      <c r="I214" s="19">
        <f>IF(OR(C214="",H214=""),"",C214-H214)</f>
        <v/>
      </c>
      <c r="J214" s="18">
        <f>IF(I214="","",IF(I214&gt;=0.5,"⚠ переоценивает себя",IF(H214&lt;3,"низкий уровень","")))</f>
        <v/>
      </c>
    </row>
    <row r="215">
      <c r="A215" s="18" t="inlineStr">
        <is>
          <t>РП-6</t>
        </is>
      </c>
      <c r="B215" s="10" t="inlineStr">
        <is>
          <t>Внедрение информационных центров</t>
        </is>
      </c>
      <c r="C215" s="19">
        <f>IF('Оценки'!K215="","",'Оценки'!K215)</f>
        <v/>
      </c>
      <c r="D215" s="19">
        <f>IF('Оценки'!C215="","",'Оценки'!C215)</f>
        <v/>
      </c>
      <c r="E215" s="19">
        <f>IF(COUNT('Оценки'!D215:F215)=0,"",AVERAGE('Оценки'!D215:F215))</f>
        <v/>
      </c>
      <c r="F215" s="19">
        <f>IF(COUNT('Оценки'!G215:I215)=0,"",AVERAGE('Оценки'!G215:I215))</f>
        <v/>
      </c>
      <c r="G215" s="19">
        <f>IF('Оценки'!J215="","",'Оценки'!J215)</f>
        <v/>
      </c>
      <c r="H215" s="19">
        <f>IF(COUNT(D215:G215)=0,"",AVERAGE(D215:G215))</f>
        <v/>
      </c>
      <c r="I215" s="19">
        <f>IF(OR(C215="",H215=""),"",C215-H215)</f>
        <v/>
      </c>
      <c r="J215" s="18">
        <f>IF(I215="","",IF(I215&gt;=0.5,"⚠ переоценивает себя",IF(H215&lt;3,"низкий уровень","")))</f>
        <v/>
      </c>
    </row>
    <row r="216">
      <c r="A216" s="18" t="inlineStr">
        <is>
          <t>РП-6</t>
        </is>
      </c>
      <c r="B216" s="10" t="inlineStr">
        <is>
          <t>Подготовка к проведению тренингов</t>
        </is>
      </c>
      <c r="C216" s="19">
        <f>IF('Оценки'!K216="","",'Оценки'!K216)</f>
        <v/>
      </c>
      <c r="D216" s="19">
        <f>IF('Оценки'!C216="","",'Оценки'!C216)</f>
        <v/>
      </c>
      <c r="E216" s="19">
        <f>IF(COUNT('Оценки'!D216:F216)=0,"",AVERAGE('Оценки'!D216:F216))</f>
        <v/>
      </c>
      <c r="F216" s="19">
        <f>IF(COUNT('Оценки'!G216:I216)=0,"",AVERAGE('Оценки'!G216:I216))</f>
        <v/>
      </c>
      <c r="G216" s="19">
        <f>IF('Оценки'!J216="","",'Оценки'!J216)</f>
        <v/>
      </c>
      <c r="H216" s="19">
        <f>IF(COUNT(D216:G216)=0,"",AVERAGE(D216:G216))</f>
        <v/>
      </c>
      <c r="I216" s="19">
        <f>IF(OR(C216="",H216=""),"",C216-H216)</f>
        <v/>
      </c>
      <c r="J216" s="18">
        <f>IF(I216="","",IF(I216&gt;=0.5,"⚠ переоценивает себя",IF(H216&lt;3,"низкий уровень","")))</f>
        <v/>
      </c>
    </row>
    <row r="217">
      <c r="A217" s="18" t="inlineStr">
        <is>
          <t>РП-6</t>
        </is>
      </c>
      <c r="B217" s="10" t="inlineStr">
        <is>
          <t>Проведение тренингов по Бережливому производству</t>
        </is>
      </c>
      <c r="C217" s="19">
        <f>IF('Оценки'!K217="","",'Оценки'!K217)</f>
        <v/>
      </c>
      <c r="D217" s="19">
        <f>IF('Оценки'!C217="","",'Оценки'!C217)</f>
        <v/>
      </c>
      <c r="E217" s="19">
        <f>IF(COUNT('Оценки'!D217:F217)=0,"",AVERAGE('Оценки'!D217:F217))</f>
        <v/>
      </c>
      <c r="F217" s="19">
        <f>IF(COUNT('Оценки'!G217:I217)=0,"",AVERAGE('Оценки'!G217:I217))</f>
        <v/>
      </c>
      <c r="G217" s="19">
        <f>IF('Оценки'!J217="","",'Оценки'!J217)</f>
        <v/>
      </c>
      <c r="H217" s="19">
        <f>IF(COUNT(D217:G217)=0,"",AVERAGE(D217:G217))</f>
        <v/>
      </c>
      <c r="I217" s="19">
        <f>IF(OR(C217="",H217=""),"",C217-H217)</f>
        <v/>
      </c>
      <c r="J217" s="18">
        <f>IF(I217="","",IF(I217&gt;=0.5,"⚠ переоценивает себя",IF(H217&lt;3,"низкий уровень","")))</f>
        <v/>
      </c>
    </row>
    <row r="218">
      <c r="A218" s="18" t="inlineStr">
        <is>
          <t>РП-6</t>
        </is>
      </c>
      <c r="B218" s="10" t="inlineStr">
        <is>
          <t>Мониторинг проводимого обучения</t>
        </is>
      </c>
      <c r="C218" s="19">
        <f>IF('Оценки'!K218="","",'Оценки'!K218)</f>
        <v/>
      </c>
      <c r="D218" s="19">
        <f>IF('Оценки'!C218="","",'Оценки'!C218)</f>
        <v/>
      </c>
      <c r="E218" s="19">
        <f>IF(COUNT('Оценки'!D218:F218)=0,"",AVERAGE('Оценки'!D218:F218))</f>
        <v/>
      </c>
      <c r="F218" s="19">
        <f>IF(COUNT('Оценки'!G218:I218)=0,"",AVERAGE('Оценки'!G218:I218))</f>
        <v/>
      </c>
      <c r="G218" s="19">
        <f>IF('Оценки'!J218="","",'Оценки'!J218)</f>
        <v/>
      </c>
      <c r="H218" s="19">
        <f>IF(COUNT(D218:G218)=0,"",AVERAGE(D218:G218))</f>
        <v/>
      </c>
      <c r="I218" s="19">
        <f>IF(OR(C218="",H218=""),"",C218-H218)</f>
        <v/>
      </c>
      <c r="J218" s="18">
        <f>IF(I218="","",IF(I218&gt;=0.5,"⚠ переоценивает себя",IF(H218&lt;3,"низкий уровень","")))</f>
        <v/>
      </c>
    </row>
    <row r="219">
      <c r="A219" s="18" t="inlineStr">
        <is>
          <t>РП-6</t>
        </is>
      </c>
      <c r="B219" s="11" t="inlineStr">
        <is>
          <t>Картирование потоков и «Диаграмма спагетти»</t>
        </is>
      </c>
      <c r="C219" s="19">
        <f>IF('Оценки'!K219="","",'Оценки'!K219)</f>
        <v/>
      </c>
      <c r="D219" s="19">
        <f>IF('Оценки'!C219="","",'Оценки'!C219)</f>
        <v/>
      </c>
      <c r="E219" s="19">
        <f>IF(COUNT('Оценки'!D219:F219)=0,"",AVERAGE('Оценки'!D219:F219))</f>
        <v/>
      </c>
      <c r="F219" s="19">
        <f>IF(COUNT('Оценки'!G219:I219)=0,"",AVERAGE('Оценки'!G219:I219))</f>
        <v/>
      </c>
      <c r="G219" s="19">
        <f>IF('Оценки'!J219="","",'Оценки'!J219)</f>
        <v/>
      </c>
      <c r="H219" s="19">
        <f>IF(COUNT(D219:G219)=0,"",AVERAGE(D219:G219))</f>
        <v/>
      </c>
      <c r="I219" s="19">
        <f>IF(OR(C219="",H219=""),"",C219-H219)</f>
        <v/>
      </c>
      <c r="J219" s="18">
        <f>IF(I219="","",IF(I219&gt;=0.5,"⚠ переоценивает себя",IF(H219&lt;3,"низкий уровень","")))</f>
        <v/>
      </c>
    </row>
    <row r="220">
      <c r="A220" s="18" t="inlineStr">
        <is>
          <t>РП-6</t>
        </is>
      </c>
      <c r="B220" s="11" t="inlineStr">
        <is>
          <t>Производственный анализ</t>
        </is>
      </c>
      <c r="C220" s="19">
        <f>IF('Оценки'!K220="","",'Оценки'!K220)</f>
        <v/>
      </c>
      <c r="D220" s="19">
        <f>IF('Оценки'!C220="","",'Оценки'!C220)</f>
        <v/>
      </c>
      <c r="E220" s="19">
        <f>IF(COUNT('Оценки'!D220:F220)=0,"",AVERAGE('Оценки'!D220:F220))</f>
        <v/>
      </c>
      <c r="F220" s="19">
        <f>IF(COUNT('Оценки'!G220:I220)=0,"",AVERAGE('Оценки'!G220:I220))</f>
        <v/>
      </c>
      <c r="G220" s="19">
        <f>IF('Оценки'!J220="","",'Оценки'!J220)</f>
        <v/>
      </c>
      <c r="H220" s="19">
        <f>IF(COUNT(D220:G220)=0,"",AVERAGE(D220:G220))</f>
        <v/>
      </c>
      <c r="I220" s="19">
        <f>IF(OR(C220="",H220=""),"",C220-H220)</f>
        <v/>
      </c>
      <c r="J220" s="18">
        <f>IF(I220="","",IF(I220&gt;=0.5,"⚠ переоценивает себя",IF(H220&lt;3,"низкий уровень","")))</f>
        <v/>
      </c>
    </row>
    <row r="221">
      <c r="A221" s="18" t="inlineStr">
        <is>
          <t>РП-6</t>
        </is>
      </c>
      <c r="B221" s="11" t="inlineStr">
        <is>
          <t>Поток единичных изделий</t>
        </is>
      </c>
      <c r="C221" s="19">
        <f>IF('Оценки'!K221="","",'Оценки'!K221)</f>
        <v/>
      </c>
      <c r="D221" s="19">
        <f>IF('Оценки'!C221="","",'Оценки'!C221)</f>
        <v/>
      </c>
      <c r="E221" s="19">
        <f>IF(COUNT('Оценки'!D221:F221)=0,"",AVERAGE('Оценки'!D221:F221))</f>
        <v/>
      </c>
      <c r="F221" s="19">
        <f>IF(COUNT('Оценки'!G221:I221)=0,"",AVERAGE('Оценки'!G221:I221))</f>
        <v/>
      </c>
      <c r="G221" s="19">
        <f>IF('Оценки'!J221="","",'Оценки'!J221)</f>
        <v/>
      </c>
      <c r="H221" s="19">
        <f>IF(COUNT(D221:G221)=0,"",AVERAGE(D221:G221))</f>
        <v/>
      </c>
      <c r="I221" s="19">
        <f>IF(OR(C221="",H221=""),"",C221-H221)</f>
        <v/>
      </c>
      <c r="J221" s="18">
        <f>IF(I221="","",IF(I221&gt;=0.5,"⚠ переоценивает себя",IF(H221&lt;3,"низкий уровень","")))</f>
        <v/>
      </c>
    </row>
    <row r="222">
      <c r="A222" s="18" t="inlineStr">
        <is>
          <t>РП-6</t>
        </is>
      </c>
      <c r="B222" s="11" t="inlineStr">
        <is>
          <t>Система «Канбан»</t>
        </is>
      </c>
      <c r="C222" s="19">
        <f>IF('Оценки'!K222="","",'Оценки'!K222)</f>
        <v/>
      </c>
      <c r="D222" s="19">
        <f>IF('Оценки'!C222="","",'Оценки'!C222)</f>
        <v/>
      </c>
      <c r="E222" s="19">
        <f>IF(COUNT('Оценки'!D222:F222)=0,"",AVERAGE('Оценки'!D222:F222))</f>
        <v/>
      </c>
      <c r="F222" s="19">
        <f>IF(COUNT('Оценки'!G222:I222)=0,"",AVERAGE('Оценки'!G222:I222))</f>
        <v/>
      </c>
      <c r="G222" s="19">
        <f>IF('Оценки'!J222="","",'Оценки'!J222)</f>
        <v/>
      </c>
      <c r="H222" s="19">
        <f>IF(COUNT(D222:G222)=0,"",AVERAGE(D222:G222))</f>
        <v/>
      </c>
      <c r="I222" s="19">
        <f>IF(OR(C222="",H222=""),"",C222-H222)</f>
        <v/>
      </c>
      <c r="J222" s="18">
        <f>IF(I222="","",IF(I222&gt;=0.5,"⚠ переоценивает себя",IF(H222&lt;3,"низкий уровень","")))</f>
        <v/>
      </c>
    </row>
    <row r="223">
      <c r="A223" s="18" t="inlineStr">
        <is>
          <t>РП-6</t>
        </is>
      </c>
      <c r="B223" s="11" t="inlineStr">
        <is>
          <t>Стандартизированная работа</t>
        </is>
      </c>
      <c r="C223" s="19">
        <f>IF('Оценки'!K223="","",'Оценки'!K223)</f>
        <v/>
      </c>
      <c r="D223" s="19">
        <f>IF('Оценки'!C223="","",'Оценки'!C223)</f>
        <v/>
      </c>
      <c r="E223" s="19">
        <f>IF(COUNT('Оценки'!D223:F223)=0,"",AVERAGE('Оценки'!D223:F223))</f>
        <v/>
      </c>
      <c r="F223" s="19">
        <f>IF(COUNT('Оценки'!G223:I223)=0,"",AVERAGE('Оценки'!G223:I223))</f>
        <v/>
      </c>
      <c r="G223" s="19">
        <f>IF('Оценки'!J223="","",'Оценки'!J223)</f>
        <v/>
      </c>
      <c r="H223" s="19">
        <f>IF(COUNT(D223:G223)=0,"",AVERAGE(D223:G223))</f>
        <v/>
      </c>
      <c r="I223" s="19">
        <f>IF(OR(C223="",H223=""),"",C223-H223)</f>
        <v/>
      </c>
      <c r="J223" s="18">
        <f>IF(I223="","",IF(I223&gt;=0.5,"⚠ переоценивает себя",IF(H223&lt;3,"низкий уровень","")))</f>
        <v/>
      </c>
    </row>
    <row r="224">
      <c r="A224" s="18" t="inlineStr">
        <is>
          <t>РП-6</t>
        </is>
      </c>
      <c r="B224" s="11" t="inlineStr">
        <is>
          <t>Методы поиска первопричин и решения проблем</t>
        </is>
      </c>
      <c r="C224" s="19">
        <f>IF('Оценки'!K224="","",'Оценки'!K224)</f>
        <v/>
      </c>
      <c r="D224" s="19">
        <f>IF('Оценки'!C224="","",'Оценки'!C224)</f>
        <v/>
      </c>
      <c r="E224" s="19">
        <f>IF(COUNT('Оценки'!D224:F224)=0,"",AVERAGE('Оценки'!D224:F224))</f>
        <v/>
      </c>
      <c r="F224" s="19">
        <f>IF(COUNT('Оценки'!G224:I224)=0,"",AVERAGE('Оценки'!G224:I224))</f>
        <v/>
      </c>
      <c r="G224" s="19">
        <f>IF('Оценки'!J224="","",'Оценки'!J224)</f>
        <v/>
      </c>
      <c r="H224" s="19">
        <f>IF(COUNT(D224:G224)=0,"",AVERAGE(D224:G224))</f>
        <v/>
      </c>
      <c r="I224" s="19">
        <f>IF(OR(C224="",H224=""),"",C224-H224)</f>
        <v/>
      </c>
      <c r="J224" s="18">
        <f>IF(I224="","",IF(I224&gt;=0.5,"⚠ переоценивает себя",IF(H224&lt;3,"низкий уровень","")))</f>
        <v/>
      </c>
    </row>
    <row r="225">
      <c r="A225" s="18" t="inlineStr">
        <is>
          <t>РП-6</t>
        </is>
      </c>
      <c r="B225" s="11" t="inlineStr">
        <is>
          <t>Быстрая переналадка (SMED)</t>
        </is>
      </c>
      <c r="C225" s="19">
        <f>IF('Оценки'!K225="","",'Оценки'!K225)</f>
        <v/>
      </c>
      <c r="D225" s="19">
        <f>IF('Оценки'!C225="","",'Оценки'!C225)</f>
        <v/>
      </c>
      <c r="E225" s="19">
        <f>IF(COUNT('Оценки'!D225:F225)=0,"",AVERAGE('Оценки'!D225:F225))</f>
        <v/>
      </c>
      <c r="F225" s="19">
        <f>IF(COUNT('Оценки'!G225:I225)=0,"",AVERAGE('Оценки'!G225:I225))</f>
        <v/>
      </c>
      <c r="G225" s="19">
        <f>IF('Оценки'!J225="","",'Оценки'!J225)</f>
        <v/>
      </c>
      <c r="H225" s="19">
        <f>IF(COUNT(D225:G225)=0,"",AVERAGE(D225:G225))</f>
        <v/>
      </c>
      <c r="I225" s="19">
        <f>IF(OR(C225="",H225=""),"",C225-H225)</f>
        <v/>
      </c>
      <c r="J225" s="18">
        <f>IF(I225="","",IF(I225&gt;=0.5,"⚠ переоценивает себя",IF(H225&lt;3,"низкий уровень","")))</f>
        <v/>
      </c>
    </row>
    <row r="226">
      <c r="A226" s="18" t="inlineStr">
        <is>
          <t>РП-6</t>
        </is>
      </c>
      <c r="B226" s="11" t="inlineStr">
        <is>
          <t>«Poka-Yoke» (защита от ошибок)</t>
        </is>
      </c>
      <c r="C226" s="19">
        <f>IF('Оценки'!K226="","",'Оценки'!K226)</f>
        <v/>
      </c>
      <c r="D226" s="19">
        <f>IF('Оценки'!C226="","",'Оценки'!C226)</f>
        <v/>
      </c>
      <c r="E226" s="19">
        <f>IF(COUNT('Оценки'!D226:F226)=0,"",AVERAGE('Оценки'!D226:F226))</f>
        <v/>
      </c>
      <c r="F226" s="19">
        <f>IF(COUNT('Оценки'!G226:I226)=0,"",AVERAGE('Оценки'!G226:I226))</f>
        <v/>
      </c>
      <c r="G226" s="19">
        <f>IF('Оценки'!J226="","",'Оценки'!J226)</f>
        <v/>
      </c>
      <c r="H226" s="19">
        <f>IF(COUNT(D226:G226)=0,"",AVERAGE(D226:G226))</f>
        <v/>
      </c>
      <c r="I226" s="19">
        <f>IF(OR(C226="",H226=""),"",C226-H226)</f>
        <v/>
      </c>
      <c r="J226" s="18">
        <f>IF(I226="","",IF(I226&gt;=0.5,"⚠ переоценивает себя",IF(H226&lt;3,"низкий уровень","")))</f>
        <v/>
      </c>
    </row>
    <row r="227">
      <c r="A227" s="18" t="inlineStr">
        <is>
          <t>РП-6</t>
        </is>
      </c>
      <c r="B227" s="11" t="inlineStr">
        <is>
          <t>5С на производстве и в офисе</t>
        </is>
      </c>
      <c r="C227" s="19">
        <f>IF('Оценки'!K227="","",'Оценки'!K227)</f>
        <v/>
      </c>
      <c r="D227" s="19">
        <f>IF('Оценки'!C227="","",'Оценки'!C227)</f>
        <v/>
      </c>
      <c r="E227" s="19">
        <f>IF(COUNT('Оценки'!D227:F227)=0,"",AVERAGE('Оценки'!D227:F227))</f>
        <v/>
      </c>
      <c r="F227" s="19">
        <f>IF(COUNT('Оценки'!G227:I227)=0,"",AVERAGE('Оценки'!G227:I227))</f>
        <v/>
      </c>
      <c r="G227" s="19">
        <f>IF('Оценки'!J227="","",'Оценки'!J227)</f>
        <v/>
      </c>
      <c r="H227" s="19">
        <f>IF(COUNT(D227:G227)=0,"",AVERAGE(D227:G227))</f>
        <v/>
      </c>
      <c r="I227" s="19">
        <f>IF(OR(C227="",H227=""),"",C227-H227)</f>
        <v/>
      </c>
      <c r="J227" s="18">
        <f>IF(I227="","",IF(I227&gt;=0.5,"⚠ переоценивает себя",IF(H227&lt;3,"низкий уровень","")))</f>
        <v/>
      </c>
    </row>
    <row r="228">
      <c r="A228" s="18" t="inlineStr">
        <is>
          <t>РП-6</t>
        </is>
      </c>
      <c r="B228" s="11" t="inlineStr">
        <is>
          <t>ОЕЕ — анализ эффективности оборудования</t>
        </is>
      </c>
      <c r="C228" s="19">
        <f>IF('Оценки'!K228="","",'Оценки'!K228)</f>
        <v/>
      </c>
      <c r="D228" s="19">
        <f>IF('Оценки'!C228="","",'Оценки'!C228)</f>
        <v/>
      </c>
      <c r="E228" s="19">
        <f>IF(COUNT('Оценки'!D228:F228)=0,"",AVERAGE('Оценки'!D228:F228))</f>
        <v/>
      </c>
      <c r="F228" s="19">
        <f>IF(COUNT('Оценки'!G228:I228)=0,"",AVERAGE('Оценки'!G228:I228))</f>
        <v/>
      </c>
      <c r="G228" s="19">
        <f>IF('Оценки'!J228="","",'Оценки'!J228)</f>
        <v/>
      </c>
      <c r="H228" s="19">
        <f>IF(COUNT(D228:G228)=0,"",AVERAGE(D228:G228))</f>
        <v/>
      </c>
      <c r="I228" s="19">
        <f>IF(OR(C228="",H228=""),"",C228-H228)</f>
        <v/>
      </c>
      <c r="J228" s="18">
        <f>IF(I228="","",IF(I228&gt;=0.5,"⚠ переоценивает себя",IF(H228&lt;3,"низкий уровень","")))</f>
        <v/>
      </c>
    </row>
    <row r="229">
      <c r="A229" s="18" t="inlineStr">
        <is>
          <t>РП-6</t>
        </is>
      </c>
      <c r="B229" s="11" t="inlineStr">
        <is>
          <t>Автономное обслуживание оборудования</t>
        </is>
      </c>
      <c r="C229" s="19">
        <f>IF('Оценки'!K229="","",'Оценки'!K229)</f>
        <v/>
      </c>
      <c r="D229" s="19">
        <f>IF('Оценки'!C229="","",'Оценки'!C229)</f>
        <v/>
      </c>
      <c r="E229" s="19">
        <f>IF(COUNT('Оценки'!D229:F229)=0,"",AVERAGE('Оценки'!D229:F229))</f>
        <v/>
      </c>
      <c r="F229" s="19">
        <f>IF(COUNT('Оценки'!G229:I229)=0,"",AVERAGE('Оценки'!G229:I229))</f>
        <v/>
      </c>
      <c r="G229" s="19">
        <f>IF('Оценки'!J229="","",'Оценки'!J229)</f>
        <v/>
      </c>
      <c r="H229" s="19">
        <f>IF(COUNT(D229:G229)=0,"",AVERAGE(D229:G229))</f>
        <v/>
      </c>
      <c r="I229" s="19">
        <f>IF(OR(C229="",H229=""),"",C229-H229)</f>
        <v/>
      </c>
      <c r="J229" s="18">
        <f>IF(I229="","",IF(I229&gt;=0.5,"⚠ переоценивает себя",IF(H229&lt;3,"низкий уровень","")))</f>
        <v/>
      </c>
    </row>
    <row r="230">
      <c r="A230" s="18" t="inlineStr">
        <is>
          <t>РП-6</t>
        </is>
      </c>
      <c r="B230" s="11" t="inlineStr">
        <is>
          <t>Управление запасами</t>
        </is>
      </c>
      <c r="C230" s="19">
        <f>IF('Оценки'!K230="","",'Оценки'!K230)</f>
        <v/>
      </c>
      <c r="D230" s="19">
        <f>IF('Оценки'!C230="","",'Оценки'!C230)</f>
        <v/>
      </c>
      <c r="E230" s="19">
        <f>IF(COUNT('Оценки'!D230:F230)=0,"",AVERAGE('Оценки'!D230:F230))</f>
        <v/>
      </c>
      <c r="F230" s="19">
        <f>IF(COUNT('Оценки'!G230:I230)=0,"",AVERAGE('Оценки'!G230:I230))</f>
        <v/>
      </c>
      <c r="G230" s="19">
        <f>IF('Оценки'!J230="","",'Оценки'!J230)</f>
        <v/>
      </c>
      <c r="H230" s="19">
        <f>IF(COUNT(D230:G230)=0,"",AVERAGE(D230:G230))</f>
        <v/>
      </c>
      <c r="I230" s="19">
        <f>IF(OR(C230="",H230=""),"",C230-H230)</f>
        <v/>
      </c>
      <c r="J230" s="18">
        <f>IF(I230="","",IF(I230&gt;=0.5,"⚠ переоценивает себя",IF(H230&lt;3,"низкий уровень","")))</f>
        <v/>
      </c>
    </row>
    <row r="231">
      <c r="A231" s="18" t="inlineStr">
        <is>
          <t>РП-6</t>
        </is>
      </c>
      <c r="B231" s="12" t="inlineStr">
        <is>
          <t>Сбор и проверка данных от предприятий-участников, выработка корректирующих мероприятий</t>
        </is>
      </c>
      <c r="C231" s="19">
        <f>IF('Оценки'!K231="","",'Оценки'!K231)</f>
        <v/>
      </c>
      <c r="D231" s="19">
        <f>IF('Оценки'!C231="","",'Оценки'!C231)</f>
        <v/>
      </c>
      <c r="E231" s="19">
        <f>IF(COUNT('Оценки'!D231:F231)=0,"",AVERAGE('Оценки'!D231:F231))</f>
        <v/>
      </c>
      <c r="F231" s="19">
        <f>IF(COUNT('Оценки'!G231:I231)=0,"",AVERAGE('Оценки'!G231:I231))</f>
        <v/>
      </c>
      <c r="G231" s="19">
        <f>IF('Оценки'!J231="","",'Оценки'!J231)</f>
        <v/>
      </c>
      <c r="H231" s="19">
        <f>IF(COUNT(D231:G231)=0,"",AVERAGE(D231:G231))</f>
        <v/>
      </c>
      <c r="I231" s="19">
        <f>IF(OR(C231="",H231=""),"",C231-H231)</f>
        <v/>
      </c>
      <c r="J231" s="18">
        <f>IF(I231="","",IF(I231&gt;=0.5,"⚠ переоценивает себя",IF(H231&lt;3,"низкий уровень","")))</f>
        <v/>
      </c>
    </row>
    <row r="232">
      <c r="A232" s="18" t="inlineStr">
        <is>
          <t>РП-6</t>
        </is>
      </c>
      <c r="B232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232" s="19">
        <f>IF('Оценки'!K232="","",'Оценки'!K232)</f>
        <v/>
      </c>
      <c r="D232" s="19">
        <f>IF('Оценки'!C232="","",'Оценки'!C232)</f>
        <v/>
      </c>
      <c r="E232" s="19">
        <f>IF(COUNT('Оценки'!D232:F232)=0,"",AVERAGE('Оценки'!D232:F232))</f>
        <v/>
      </c>
      <c r="F232" s="19">
        <f>IF(COUNT('Оценки'!G232:I232)=0,"",AVERAGE('Оценки'!G232:I232))</f>
        <v/>
      </c>
      <c r="G232" s="19">
        <f>IF('Оценки'!J232="","",'Оценки'!J232)</f>
        <v/>
      </c>
      <c r="H232" s="19">
        <f>IF(COUNT(D232:G232)=0,"",AVERAGE(D232:G232))</f>
        <v/>
      </c>
      <c r="I232" s="19">
        <f>IF(OR(C232="",H232=""),"",C232-H232)</f>
        <v/>
      </c>
      <c r="J232" s="18">
        <f>IF(I232="","",IF(I232&gt;=0.5,"⚠ переоценивает себя",IF(H232&lt;3,"низкий уровень","")))</f>
        <v/>
      </c>
    </row>
    <row r="233">
      <c r="A233" s="18" t="inlineStr">
        <is>
          <t>РП-6</t>
        </is>
      </c>
      <c r="B233" s="12" t="inlineStr">
        <is>
          <t>Поиск и распространение лучших практик по производительности труда</t>
        </is>
      </c>
      <c r="C233" s="19">
        <f>IF('Оценки'!K233="","",'Оценки'!K233)</f>
        <v/>
      </c>
      <c r="D233" s="19">
        <f>IF('Оценки'!C233="","",'Оценки'!C233)</f>
        <v/>
      </c>
      <c r="E233" s="19">
        <f>IF(COUNT('Оценки'!D233:F233)=0,"",AVERAGE('Оценки'!D233:F233))</f>
        <v/>
      </c>
      <c r="F233" s="19">
        <f>IF(COUNT('Оценки'!G233:I233)=0,"",AVERAGE('Оценки'!G233:I233))</f>
        <v/>
      </c>
      <c r="G233" s="19">
        <f>IF('Оценки'!J233="","",'Оценки'!J233)</f>
        <v/>
      </c>
      <c r="H233" s="19">
        <f>IF(COUNT(D233:G233)=0,"",AVERAGE(D233:G233))</f>
        <v/>
      </c>
      <c r="I233" s="19">
        <f>IF(OR(C233="",H233=""),"",C233-H233)</f>
        <v/>
      </c>
      <c r="J233" s="18">
        <f>IF(I233="","",IF(I233&gt;=0.5,"⚠ переоценивает себя",IF(H233&lt;3,"низкий уровень","")))</f>
        <v/>
      </c>
    </row>
    <row r="234">
      <c r="A234" s="18" t="inlineStr">
        <is>
          <t>РП-6</t>
        </is>
      </c>
      <c r="B234" s="12" t="inlineStr">
        <is>
          <t>Организация работы с предложениями по улучшению (ППУ)</t>
        </is>
      </c>
      <c r="C234" s="19">
        <f>IF('Оценки'!K234="","",'Оценки'!K234)</f>
        <v/>
      </c>
      <c r="D234" s="19">
        <f>IF('Оценки'!C234="","",'Оценки'!C234)</f>
        <v/>
      </c>
      <c r="E234" s="19">
        <f>IF(COUNT('Оценки'!D234:F234)=0,"",AVERAGE('Оценки'!D234:F234))</f>
        <v/>
      </c>
      <c r="F234" s="19">
        <f>IF(COUNT('Оценки'!G234:I234)=0,"",AVERAGE('Оценки'!G234:I234))</f>
        <v/>
      </c>
      <c r="G234" s="19">
        <f>IF('Оценки'!J234="","",'Оценки'!J234)</f>
        <v/>
      </c>
      <c r="H234" s="19">
        <f>IF(COUNT(D234:G234)=0,"",AVERAGE(D234:G234))</f>
        <v/>
      </c>
      <c r="I234" s="19">
        <f>IF(OR(C234="",H234=""),"",C234-H234)</f>
        <v/>
      </c>
      <c r="J234" s="18">
        <f>IF(I234="","",IF(I234&gt;=0.5,"⚠ переоценивает себя",IF(H234&lt;3,"низкий уровень","")))</f>
        <v/>
      </c>
    </row>
    <row r="235">
      <c r="A235" s="18" t="inlineStr">
        <is>
          <t>РП-6</t>
        </is>
      </c>
      <c r="B235" s="12" t="inlineStr">
        <is>
          <t>Ведение мониторинга проектов в подсистеме «Совместная работа» на ИТ-платформе</t>
        </is>
      </c>
      <c r="C235" s="19">
        <f>IF('Оценки'!K235="","",'Оценки'!K235)</f>
        <v/>
      </c>
      <c r="D235" s="19">
        <f>IF('Оценки'!C235="","",'Оценки'!C235)</f>
        <v/>
      </c>
      <c r="E235" s="19">
        <f>IF(COUNT('Оценки'!D235:F235)=0,"",AVERAGE('Оценки'!D235:F235))</f>
        <v/>
      </c>
      <c r="F235" s="19">
        <f>IF(COUNT('Оценки'!G235:I235)=0,"",AVERAGE('Оценки'!G235:I235))</f>
        <v/>
      </c>
      <c r="G235" s="19">
        <f>IF('Оценки'!J235="","",'Оценки'!J235)</f>
        <v/>
      </c>
      <c r="H235" s="19">
        <f>IF(COUNT(D235:G235)=0,"",AVERAGE(D235:G235))</f>
        <v/>
      </c>
      <c r="I235" s="19">
        <f>IF(OR(C235="",H235=""),"",C235-H235)</f>
        <v/>
      </c>
      <c r="J235" s="18">
        <f>IF(I235="","",IF(I235&gt;=0.5,"⚠ переоценивает себя",IF(H235&lt;3,"низкий уровень","")))</f>
        <v/>
      </c>
    </row>
    <row r="236">
      <c r="A236" s="20" t="inlineStr">
        <is>
          <t>РП-6</t>
        </is>
      </c>
      <c r="B236" s="20" t="inlineStr">
        <is>
          <t>ИТОГО (среднее по всем компетенциям)</t>
        </is>
      </c>
      <c r="C236" s="21">
        <f>IF(COUNT(C199:C235)=0,"",AVERAGE(C199:C235))</f>
        <v/>
      </c>
      <c r="D236" s="21">
        <f>IF(COUNT(D199:D235)=0,"",AVERAGE(D199:D235))</f>
        <v/>
      </c>
      <c r="E236" s="21">
        <f>IF(COUNT(E199:E235)=0,"",AVERAGE(E199:E235))</f>
        <v/>
      </c>
      <c r="F236" s="21">
        <f>IF(COUNT(F199:F235)=0,"",AVERAGE(F199:F235))</f>
        <v/>
      </c>
      <c r="G236" s="21">
        <f>IF(COUNT(G199:G235)=0,"",AVERAGE(G199:G235))</f>
        <v/>
      </c>
      <c r="H236" s="21">
        <f>IF(COUNT(H199:H235)=0,"",AVERAGE(H199:H235))</f>
        <v/>
      </c>
      <c r="I236" s="21">
        <f>IF(OR(C236="",H236=""),"",C236-H236)</f>
        <v/>
      </c>
      <c r="J236" s="20">
        <f>IF(I236="","",IF(I236&gt;=0.5,"⚠ переоценивает себя",IF(H236&lt;3,"низкий уровень","")))</f>
        <v/>
      </c>
    </row>
    <row r="237">
      <c r="A237" s="18" t="n"/>
      <c r="B237" s="18" t="n"/>
      <c r="C237" s="19" t="n"/>
      <c r="D237" s="19" t="n"/>
      <c r="E237" s="19" t="n"/>
      <c r="F237" s="19" t="n"/>
      <c r="G237" s="19" t="n"/>
      <c r="H237" s="19" t="n"/>
      <c r="I237" s="19" t="n"/>
      <c r="J237" s="18" t="n"/>
    </row>
    <row r="238">
      <c r="A238" s="18" t="inlineStr">
        <is>
          <t>РП-7</t>
        </is>
      </c>
      <c r="B238" s="8" t="inlineStr">
        <is>
          <t>Проведение оценки на соответствие предприятия обязательным критериям</t>
        </is>
      </c>
      <c r="C238" s="19">
        <f>IF('Оценки'!K238="","",'Оценки'!K238)</f>
        <v/>
      </c>
      <c r="D238" s="19">
        <f>IF('Оценки'!C238="","",'Оценки'!C238)</f>
        <v/>
      </c>
      <c r="E238" s="19">
        <f>IF(COUNT('Оценки'!D238:F238)=0,"",AVERAGE('Оценки'!D238:F238))</f>
        <v/>
      </c>
      <c r="F238" s="19">
        <f>IF(COUNT('Оценки'!G238:I238)=0,"",AVERAGE('Оценки'!G238:I238))</f>
        <v/>
      </c>
      <c r="G238" s="19">
        <f>IF('Оценки'!J238="","",'Оценки'!J238)</f>
        <v/>
      </c>
      <c r="H238" s="19">
        <f>IF(COUNT(D238:G238)=0,"",AVERAGE(D238:G238))</f>
        <v/>
      </c>
      <c r="I238" s="19">
        <f>IF(OR(C238="",H238=""),"",C238-H238)</f>
        <v/>
      </c>
      <c r="J238" s="18">
        <f>IF(I238="","",IF(I238&gt;=0.5,"⚠ переоценивает себя",IF(H238&lt;3,"низкий уровень","")))</f>
        <v/>
      </c>
    </row>
    <row r="239">
      <c r="A239" s="18" t="inlineStr">
        <is>
          <t>РП-7</t>
        </is>
      </c>
      <c r="B239" s="8" t="inlineStr">
        <is>
          <t>Проведение оценки готовности руководства предприятия к участию в проекте (интервью)</t>
        </is>
      </c>
      <c r="C239" s="19">
        <f>IF('Оценки'!K239="","",'Оценки'!K239)</f>
        <v/>
      </c>
      <c r="D239" s="19">
        <f>IF('Оценки'!C239="","",'Оценки'!C239)</f>
        <v/>
      </c>
      <c r="E239" s="19">
        <f>IF(COUNT('Оценки'!D239:F239)=0,"",AVERAGE('Оценки'!D239:F239))</f>
        <v/>
      </c>
      <c r="F239" s="19">
        <f>IF(COUNT('Оценки'!G239:I239)=0,"",AVERAGE('Оценки'!G239:I239))</f>
        <v/>
      </c>
      <c r="G239" s="19">
        <f>IF('Оценки'!J239="","",'Оценки'!J239)</f>
        <v/>
      </c>
      <c r="H239" s="19">
        <f>IF(COUNT(D239:G239)=0,"",AVERAGE(D239:G239))</f>
        <v/>
      </c>
      <c r="I239" s="19">
        <f>IF(OR(C239="",H239=""),"",C239-H239)</f>
        <v/>
      </c>
      <c r="J239" s="18">
        <f>IF(I239="","",IF(I239&gt;=0.5,"⚠ переоценивает себя",IF(H239&lt;3,"низкий уровень","")))</f>
        <v/>
      </c>
    </row>
    <row r="240">
      <c r="A240" s="18" t="inlineStr">
        <is>
          <t>РП-7</t>
        </is>
      </c>
      <c r="B240" s="8" t="inlineStr">
        <is>
          <t>Проведение визуальной оценки производственного процесса на предприятии (визит на площадку)</t>
        </is>
      </c>
      <c r="C240" s="19">
        <f>IF('Оценки'!K240="","",'Оценки'!K240)</f>
        <v/>
      </c>
      <c r="D240" s="19">
        <f>IF('Оценки'!C240="","",'Оценки'!C240)</f>
        <v/>
      </c>
      <c r="E240" s="19">
        <f>IF(COUNT('Оценки'!D240:F240)=0,"",AVERAGE('Оценки'!D240:F240))</f>
        <v/>
      </c>
      <c r="F240" s="19">
        <f>IF(COUNT('Оценки'!G240:I240)=0,"",AVERAGE('Оценки'!G240:I240))</f>
        <v/>
      </c>
      <c r="G240" s="19">
        <f>IF('Оценки'!J240="","",'Оценки'!J240)</f>
        <v/>
      </c>
      <c r="H240" s="19">
        <f>IF(COUNT(D240:G240)=0,"",AVERAGE(D240:G240))</f>
        <v/>
      </c>
      <c r="I240" s="19">
        <f>IF(OR(C240="",H240=""),"",C240-H240)</f>
        <v/>
      </c>
      <c r="J240" s="18">
        <f>IF(I240="","",IF(I240&gt;=0.5,"⚠ переоценивает себя",IF(H240&lt;3,"низкий уровень","")))</f>
        <v/>
      </c>
    </row>
    <row r="241">
      <c r="A241" s="18" t="inlineStr">
        <is>
          <t>РП-7</t>
        </is>
      </c>
      <c r="B241" s="8" t="inlineStr">
        <is>
          <t>Вовлечение руководства предприятий в федеральный проект</t>
        </is>
      </c>
      <c r="C241" s="19">
        <f>IF('Оценки'!K241="","",'Оценки'!K241)</f>
        <v/>
      </c>
      <c r="D241" s="19">
        <f>IF('Оценки'!C241="","",'Оценки'!C241)</f>
        <v/>
      </c>
      <c r="E241" s="19">
        <f>IF(COUNT('Оценки'!D241:F241)=0,"",AVERAGE('Оценки'!D241:F241))</f>
        <v/>
      </c>
      <c r="F241" s="19">
        <f>IF(COUNT('Оценки'!G241:I241)=0,"",AVERAGE('Оценки'!G241:I241))</f>
        <v/>
      </c>
      <c r="G241" s="19">
        <f>IF('Оценки'!J241="","",'Оценки'!J241)</f>
        <v/>
      </c>
      <c r="H241" s="19">
        <f>IF(COUNT(D241:G241)=0,"",AVERAGE(D241:G241))</f>
        <v/>
      </c>
      <c r="I241" s="19">
        <f>IF(OR(C241="",H241=""),"",C241-H241)</f>
        <v/>
      </c>
      <c r="J241" s="18">
        <f>IF(I241="","",IF(I241&gt;=0.5,"⚠ переоценивает себя",IF(H241&lt;3,"низкий уровень","")))</f>
        <v/>
      </c>
    </row>
    <row r="242">
      <c r="A242" s="18" t="inlineStr">
        <is>
          <t>РП-7</t>
        </is>
      </c>
      <c r="B242" s="8" t="inlineStr">
        <is>
          <t>Подписание соглашения о сотрудничестве между РЦК и предприятием</t>
        </is>
      </c>
      <c r="C242" s="19">
        <f>IF('Оценки'!K242="","",'Оценки'!K242)</f>
        <v/>
      </c>
      <c r="D242" s="19">
        <f>IF('Оценки'!C242="","",'Оценки'!C242)</f>
        <v/>
      </c>
      <c r="E242" s="19">
        <f>IF(COUNT('Оценки'!D242:F242)=0,"",AVERAGE('Оценки'!D242:F242))</f>
        <v/>
      </c>
      <c r="F242" s="19">
        <f>IF(COUNT('Оценки'!G242:I242)=0,"",AVERAGE('Оценки'!G242:I242))</f>
        <v/>
      </c>
      <c r="G242" s="19">
        <f>IF('Оценки'!J242="","",'Оценки'!J242)</f>
        <v/>
      </c>
      <c r="H242" s="19">
        <f>IF(COUNT(D242:G242)=0,"",AVERAGE(D242:G242))</f>
        <v/>
      </c>
      <c r="I242" s="19">
        <f>IF(OR(C242="",H242=""),"",C242-H242)</f>
        <v/>
      </c>
      <c r="J242" s="18">
        <f>IF(I242="","",IF(I242&gt;=0.5,"⚠ переоценивает себя",IF(H242&lt;3,"низкий уровень","")))</f>
        <v/>
      </c>
    </row>
    <row r="243">
      <c r="A243" s="18" t="inlineStr">
        <is>
          <t>РП-7</t>
        </is>
      </c>
      <c r="B243" s="10" t="inlineStr">
        <is>
          <t>Реализация организационных вех программы</t>
        </is>
      </c>
      <c r="C243" s="19">
        <f>IF('Оценки'!K243="","",'Оценки'!K243)</f>
        <v/>
      </c>
      <c r="D243" s="19">
        <f>IF('Оценки'!C243="","",'Оценки'!C243)</f>
        <v/>
      </c>
      <c r="E243" s="19">
        <f>IF(COUNT('Оценки'!D243:F243)=0,"",AVERAGE('Оценки'!D243:F243))</f>
        <v/>
      </c>
      <c r="F243" s="19">
        <f>IF(COUNT('Оценки'!G243:I243)=0,"",AVERAGE('Оценки'!G243:I243))</f>
        <v/>
      </c>
      <c r="G243" s="19">
        <f>IF('Оценки'!J243="","",'Оценки'!J243)</f>
        <v/>
      </c>
      <c r="H243" s="19">
        <f>IF(COUNT(D243:G243)=0,"",AVERAGE(D243:G243))</f>
        <v/>
      </c>
      <c r="I243" s="19">
        <f>IF(OR(C243="",H243=""),"",C243-H243)</f>
        <v/>
      </c>
      <c r="J243" s="18">
        <f>IF(I243="","",IF(I243&gt;=0.5,"⚠ переоценивает себя",IF(H243&lt;3,"низкий уровень","")))</f>
        <v/>
      </c>
    </row>
    <row r="244">
      <c r="A244" s="18" t="inlineStr">
        <is>
          <t>РП-7</t>
        </is>
      </c>
      <c r="B244" s="10" t="inlineStr">
        <is>
          <t>Формирование проектного офиса</t>
        </is>
      </c>
      <c r="C244" s="19">
        <f>IF('Оценки'!K244="","",'Оценки'!K244)</f>
        <v/>
      </c>
      <c r="D244" s="19">
        <f>IF('Оценки'!C244="","",'Оценки'!C244)</f>
        <v/>
      </c>
      <c r="E244" s="19">
        <f>IF(COUNT('Оценки'!D244:F244)=0,"",AVERAGE('Оценки'!D244:F244))</f>
        <v/>
      </c>
      <c r="F244" s="19">
        <f>IF(COUNT('Оценки'!G244:I244)=0,"",AVERAGE('Оценки'!G244:I244))</f>
        <v/>
      </c>
      <c r="G244" s="19">
        <f>IF('Оценки'!J244="","",'Оценки'!J244)</f>
        <v/>
      </c>
      <c r="H244" s="19">
        <f>IF(COUNT(D244:G244)=0,"",AVERAGE(D244:G244))</f>
        <v/>
      </c>
      <c r="I244" s="19">
        <f>IF(OR(C244="",H244=""),"",C244-H244)</f>
        <v/>
      </c>
      <c r="J244" s="18">
        <f>IF(I244="","",IF(I244&gt;=0.5,"⚠ переоценивает себя",IF(H244&lt;3,"низкий уровень","")))</f>
        <v/>
      </c>
    </row>
    <row r="245">
      <c r="A245" s="18" t="inlineStr">
        <is>
          <t>РП-7</t>
        </is>
      </c>
      <c r="B245" s="10" t="inlineStr">
        <is>
          <t>Определение перечня вовлеченных лиц и рамок проекта; создание рабочей группы для работы с пилотным потоком</t>
        </is>
      </c>
      <c r="C245" s="19">
        <f>IF('Оценки'!K245="","",'Оценки'!K245)</f>
        <v/>
      </c>
      <c r="D245" s="19">
        <f>IF('Оценки'!C245="","",'Оценки'!C245)</f>
        <v/>
      </c>
      <c r="E245" s="19">
        <f>IF(COUNT('Оценки'!D245:F245)=0,"",AVERAGE('Оценки'!D245:F245))</f>
        <v/>
      </c>
      <c r="F245" s="19">
        <f>IF(COUNT('Оценки'!G245:I245)=0,"",AVERAGE('Оценки'!G245:I245))</f>
        <v/>
      </c>
      <c r="G245" s="19">
        <f>IF('Оценки'!J245="","",'Оценки'!J245)</f>
        <v/>
      </c>
      <c r="H245" s="19">
        <f>IF(COUNT(D245:G245)=0,"",AVERAGE(D245:G245))</f>
        <v/>
      </c>
      <c r="I245" s="19">
        <f>IF(OR(C245="",H245=""),"",C245-H245)</f>
        <v/>
      </c>
      <c r="J245" s="18">
        <f>IF(I245="","",IF(I245&gt;=0.5,"⚠ переоценивает себя",IF(H245&lt;3,"низкий уровень","")))</f>
        <v/>
      </c>
    </row>
    <row r="246">
      <c r="A246" s="18" t="inlineStr">
        <is>
          <t>РП-7</t>
        </is>
      </c>
      <c r="B246" s="10" t="inlineStr">
        <is>
          <t>Выявление степени готовности предприятия к изменениям</t>
        </is>
      </c>
      <c r="C246" s="19">
        <f>IF('Оценки'!K246="","",'Оценки'!K246)</f>
        <v/>
      </c>
      <c r="D246" s="19">
        <f>IF('Оценки'!C246="","",'Оценки'!C246)</f>
        <v/>
      </c>
      <c r="E246" s="19">
        <f>IF(COUNT('Оценки'!D246:F246)=0,"",AVERAGE('Оценки'!D246:F246))</f>
        <v/>
      </c>
      <c r="F246" s="19">
        <f>IF(COUNT('Оценки'!G246:I246)=0,"",AVERAGE('Оценки'!G246:I246))</f>
        <v/>
      </c>
      <c r="G246" s="19">
        <f>IF('Оценки'!J246="","",'Оценки'!J246)</f>
        <v/>
      </c>
      <c r="H246" s="19">
        <f>IF(COUNT(D246:G246)=0,"",AVERAGE(D246:G246))</f>
        <v/>
      </c>
      <c r="I246" s="19">
        <f>IF(OR(C246="",H246=""),"",C246-H246)</f>
        <v/>
      </c>
      <c r="J246" s="18">
        <f>IF(I246="","",IF(I246&gt;=0.5,"⚠ переоценивает себя",IF(H246&lt;3,"низкий уровень","")))</f>
        <v/>
      </c>
    </row>
    <row r="247">
      <c r="A247" s="18" t="inlineStr">
        <is>
          <t>РП-7</t>
        </is>
      </c>
      <c r="B247" s="10" t="inlineStr">
        <is>
          <t>Составление плана ключевых событий</t>
        </is>
      </c>
      <c r="C247" s="19">
        <f>IF('Оценки'!K247="","",'Оценки'!K247)</f>
        <v/>
      </c>
      <c r="D247" s="19">
        <f>IF('Оценки'!C247="","",'Оценки'!C247)</f>
        <v/>
      </c>
      <c r="E247" s="19">
        <f>IF(COUNT('Оценки'!D247:F247)=0,"",AVERAGE('Оценки'!D247:F247))</f>
        <v/>
      </c>
      <c r="F247" s="19">
        <f>IF(COUNT('Оценки'!G247:I247)=0,"",AVERAGE('Оценки'!G247:I247))</f>
        <v/>
      </c>
      <c r="G247" s="19">
        <f>IF('Оценки'!J247="","",'Оценки'!J247)</f>
        <v/>
      </c>
      <c r="H247" s="19">
        <f>IF(COUNT(D247:G247)=0,"",AVERAGE(D247:G247))</f>
        <v/>
      </c>
      <c r="I247" s="19">
        <f>IF(OR(C247="",H247=""),"",C247-H247)</f>
        <v/>
      </c>
      <c r="J247" s="18">
        <f>IF(I247="","",IF(I247&gt;=0.5,"⚠ переоценивает себя",IF(H247&lt;3,"низкий уровень","")))</f>
        <v/>
      </c>
    </row>
    <row r="248">
      <c r="A248" s="18" t="inlineStr">
        <is>
          <t>РП-7</t>
        </is>
      </c>
      <c r="B248" s="10" t="inlineStr">
        <is>
          <t>Разработка и корректировка плана мероприятий (основные этапы, сроки, ответственные) по достижению целевого состояния</t>
        </is>
      </c>
      <c r="C248" s="19">
        <f>IF('Оценки'!K248="","",'Оценки'!K248)</f>
        <v/>
      </c>
      <c r="D248" s="19">
        <f>IF('Оценки'!C248="","",'Оценки'!C248)</f>
        <v/>
      </c>
      <c r="E248" s="19">
        <f>IF(COUNT('Оценки'!D248:F248)=0,"",AVERAGE('Оценки'!D248:F248))</f>
        <v/>
      </c>
      <c r="F248" s="19">
        <f>IF(COUNT('Оценки'!G248:I248)=0,"",AVERAGE('Оценки'!G248:I248))</f>
        <v/>
      </c>
      <c r="G248" s="19">
        <f>IF('Оценки'!J248="","",'Оценки'!J248)</f>
        <v/>
      </c>
      <c r="H248" s="19">
        <f>IF(COUNT(D248:G248)=0,"",AVERAGE(D248:G248))</f>
        <v/>
      </c>
      <c r="I248" s="19">
        <f>IF(OR(C248="",H248=""),"",C248-H248)</f>
        <v/>
      </c>
      <c r="J248" s="18">
        <f>IF(I248="","",IF(I248&gt;=0.5,"⚠ переоценивает себя",IF(H248&lt;3,"низкий уровень","")))</f>
        <v/>
      </c>
    </row>
    <row r="249">
      <c r="A249" s="18" t="inlineStr">
        <is>
          <t>РП-7</t>
        </is>
      </c>
      <c r="B249" s="10" t="inlineStr">
        <is>
          <t>Проведение анализа показателей проектов повышения производительности труда</t>
        </is>
      </c>
      <c r="C249" s="19">
        <f>IF('Оценки'!K249="","",'Оценки'!K249)</f>
        <v/>
      </c>
      <c r="D249" s="19">
        <f>IF('Оценки'!C249="","",'Оценки'!C249)</f>
        <v/>
      </c>
      <c r="E249" s="19">
        <f>IF(COUNT('Оценки'!D249:F249)=0,"",AVERAGE('Оценки'!D249:F249))</f>
        <v/>
      </c>
      <c r="F249" s="19">
        <f>IF(COUNT('Оценки'!G249:I249)=0,"",AVERAGE('Оценки'!G249:I249))</f>
        <v/>
      </c>
      <c r="G249" s="19">
        <f>IF('Оценки'!J249="","",'Оценки'!J249)</f>
        <v/>
      </c>
      <c r="H249" s="19">
        <f>IF(COUNT(D249:G249)=0,"",AVERAGE(D249:G249))</f>
        <v/>
      </c>
      <c r="I249" s="19">
        <f>IF(OR(C249="",H249=""),"",C249-H249)</f>
        <v/>
      </c>
      <c r="J249" s="18">
        <f>IF(I249="","",IF(I249&gt;=0.5,"⚠ переоценивает себя",IF(H249&lt;3,"низкий уровень","")))</f>
        <v/>
      </c>
    </row>
    <row r="250">
      <c r="A250" s="18" t="inlineStr">
        <is>
          <t>РП-7</t>
        </is>
      </c>
      <c r="B250" s="10" t="inlineStr">
        <is>
          <t>Создание карточки проекта</t>
        </is>
      </c>
      <c r="C250" s="19">
        <f>IF('Оценки'!K250="","",'Оценки'!K250)</f>
        <v/>
      </c>
      <c r="D250" s="19">
        <f>IF('Оценки'!C250="","",'Оценки'!C250)</f>
        <v/>
      </c>
      <c r="E250" s="19">
        <f>IF(COUNT('Оценки'!D250:F250)=0,"",AVERAGE('Оценки'!D250:F250))</f>
        <v/>
      </c>
      <c r="F250" s="19">
        <f>IF(COUNT('Оценки'!G250:I250)=0,"",AVERAGE('Оценки'!G250:I250))</f>
        <v/>
      </c>
      <c r="G250" s="19">
        <f>IF('Оценки'!J250="","",'Оценки'!J250)</f>
        <v/>
      </c>
      <c r="H250" s="19">
        <f>IF(COUNT(D250:G250)=0,"",AVERAGE(D250:G250))</f>
        <v/>
      </c>
      <c r="I250" s="19">
        <f>IF(OR(C250="",H250=""),"",C250-H250)</f>
        <v/>
      </c>
      <c r="J250" s="18">
        <f>IF(I250="","",IF(I250&gt;=0.5,"⚠ переоценивает себя",IF(H250&lt;3,"низкий уровень","")))</f>
        <v/>
      </c>
    </row>
    <row r="251">
      <c r="A251" s="18" t="inlineStr">
        <is>
          <t>РП-7</t>
        </is>
      </c>
      <c r="B251" s="10" t="inlineStr">
        <is>
          <t>Создание информационного центра проекта</t>
        </is>
      </c>
      <c r="C251" s="19">
        <f>IF('Оценки'!K251="","",'Оценки'!K251)</f>
        <v/>
      </c>
      <c r="D251" s="19">
        <f>IF('Оценки'!C251="","",'Оценки'!C251)</f>
        <v/>
      </c>
      <c r="E251" s="19">
        <f>IF(COUNT('Оценки'!D251:F251)=0,"",AVERAGE('Оценки'!D251:F251))</f>
        <v/>
      </c>
      <c r="F251" s="19">
        <f>IF(COUNT('Оценки'!G251:I251)=0,"",AVERAGE('Оценки'!G251:I251))</f>
        <v/>
      </c>
      <c r="G251" s="19">
        <f>IF('Оценки'!J251="","",'Оценки'!J251)</f>
        <v/>
      </c>
      <c r="H251" s="19">
        <f>IF(COUNT(D251:G251)=0,"",AVERAGE(D251:G251))</f>
        <v/>
      </c>
      <c r="I251" s="19">
        <f>IF(OR(C251="",H251=""),"",C251-H251)</f>
        <v/>
      </c>
      <c r="J251" s="18">
        <f>IF(I251="","",IF(I251&gt;=0.5,"⚠ переоценивает себя",IF(H251&lt;3,"низкий уровень","")))</f>
        <v/>
      </c>
    </row>
    <row r="252">
      <c r="A252" s="18" t="inlineStr">
        <is>
          <t>РП-7</t>
        </is>
      </c>
      <c r="B252" s="10" t="inlineStr">
        <is>
          <t>Создание эталонного участка</t>
        </is>
      </c>
      <c r="C252" s="19">
        <f>IF('Оценки'!K252="","",'Оценки'!K252)</f>
        <v/>
      </c>
      <c r="D252" s="19">
        <f>IF('Оценки'!C252="","",'Оценки'!C252)</f>
        <v/>
      </c>
      <c r="E252" s="19">
        <f>IF(COUNT('Оценки'!D252:F252)=0,"",AVERAGE('Оценки'!D252:F252))</f>
        <v/>
      </c>
      <c r="F252" s="19">
        <f>IF(COUNT('Оценки'!G252:I252)=0,"",AVERAGE('Оценки'!G252:I252))</f>
        <v/>
      </c>
      <c r="G252" s="19">
        <f>IF('Оценки'!J252="","",'Оценки'!J252)</f>
        <v/>
      </c>
      <c r="H252" s="19">
        <f>IF(COUNT(D252:G252)=0,"",AVERAGE(D252:G252))</f>
        <v/>
      </c>
      <c r="I252" s="19">
        <f>IF(OR(C252="",H252=""),"",C252-H252)</f>
        <v/>
      </c>
      <c r="J252" s="18">
        <f>IF(I252="","",IF(I252&gt;=0.5,"⚠ переоценивает себя",IF(H252&lt;3,"низкий уровень","")))</f>
        <v/>
      </c>
    </row>
    <row r="253">
      <c r="A253" s="18" t="inlineStr">
        <is>
          <t>РП-7</t>
        </is>
      </c>
      <c r="B253" s="10" t="inlineStr">
        <is>
          <t>Проведение оценки уровня развития производственной системы предприятия</t>
        </is>
      </c>
      <c r="C253" s="19">
        <f>IF('Оценки'!K253="","",'Оценки'!K253)</f>
        <v/>
      </c>
      <c r="D253" s="19">
        <f>IF('Оценки'!C253="","",'Оценки'!C253)</f>
        <v/>
      </c>
      <c r="E253" s="19">
        <f>IF(COUNT('Оценки'!D253:F253)=0,"",AVERAGE('Оценки'!D253:F253))</f>
        <v/>
      </c>
      <c r="F253" s="19">
        <f>IF(COUNT('Оценки'!G253:I253)=0,"",AVERAGE('Оценки'!G253:I253))</f>
        <v/>
      </c>
      <c r="G253" s="19">
        <f>IF('Оценки'!J253="","",'Оценки'!J253)</f>
        <v/>
      </c>
      <c r="H253" s="19">
        <f>IF(COUNT(D253:G253)=0,"",AVERAGE(D253:G253))</f>
        <v/>
      </c>
      <c r="I253" s="19">
        <f>IF(OR(C253="",H253=""),"",C253-H253)</f>
        <v/>
      </c>
      <c r="J253" s="18">
        <f>IF(I253="","",IF(I253&gt;=0.5,"⚠ переоценивает себя",IF(H253&lt;3,"низкий уровень","")))</f>
        <v/>
      </c>
    </row>
    <row r="254">
      <c r="A254" s="18" t="inlineStr">
        <is>
          <t>РП-7</t>
        </is>
      </c>
      <c r="B254" s="10" t="inlineStr">
        <is>
          <t>Внедрение информационных центров</t>
        </is>
      </c>
      <c r="C254" s="19">
        <f>IF('Оценки'!K254="","",'Оценки'!K254)</f>
        <v/>
      </c>
      <c r="D254" s="19">
        <f>IF('Оценки'!C254="","",'Оценки'!C254)</f>
        <v/>
      </c>
      <c r="E254" s="19">
        <f>IF(COUNT('Оценки'!D254:F254)=0,"",AVERAGE('Оценки'!D254:F254))</f>
        <v/>
      </c>
      <c r="F254" s="19">
        <f>IF(COUNT('Оценки'!G254:I254)=0,"",AVERAGE('Оценки'!G254:I254))</f>
        <v/>
      </c>
      <c r="G254" s="19">
        <f>IF('Оценки'!J254="","",'Оценки'!J254)</f>
        <v/>
      </c>
      <c r="H254" s="19">
        <f>IF(COUNT(D254:G254)=0,"",AVERAGE(D254:G254))</f>
        <v/>
      </c>
      <c r="I254" s="19">
        <f>IF(OR(C254="",H254=""),"",C254-H254)</f>
        <v/>
      </c>
      <c r="J254" s="18">
        <f>IF(I254="","",IF(I254&gt;=0.5,"⚠ переоценивает себя",IF(H254&lt;3,"низкий уровень","")))</f>
        <v/>
      </c>
    </row>
    <row r="255">
      <c r="A255" s="18" t="inlineStr">
        <is>
          <t>РП-7</t>
        </is>
      </c>
      <c r="B255" s="10" t="inlineStr">
        <is>
          <t>Подготовка к проведению тренингов</t>
        </is>
      </c>
      <c r="C255" s="19">
        <f>IF('Оценки'!K255="","",'Оценки'!K255)</f>
        <v/>
      </c>
      <c r="D255" s="19">
        <f>IF('Оценки'!C255="","",'Оценки'!C255)</f>
        <v/>
      </c>
      <c r="E255" s="19">
        <f>IF(COUNT('Оценки'!D255:F255)=0,"",AVERAGE('Оценки'!D255:F255))</f>
        <v/>
      </c>
      <c r="F255" s="19">
        <f>IF(COUNT('Оценки'!G255:I255)=0,"",AVERAGE('Оценки'!G255:I255))</f>
        <v/>
      </c>
      <c r="G255" s="19">
        <f>IF('Оценки'!J255="","",'Оценки'!J255)</f>
        <v/>
      </c>
      <c r="H255" s="19">
        <f>IF(COUNT(D255:G255)=0,"",AVERAGE(D255:G255))</f>
        <v/>
      </c>
      <c r="I255" s="19">
        <f>IF(OR(C255="",H255=""),"",C255-H255)</f>
        <v/>
      </c>
      <c r="J255" s="18">
        <f>IF(I255="","",IF(I255&gt;=0.5,"⚠ переоценивает себя",IF(H255&lt;3,"низкий уровень","")))</f>
        <v/>
      </c>
    </row>
    <row r="256">
      <c r="A256" s="18" t="inlineStr">
        <is>
          <t>РП-7</t>
        </is>
      </c>
      <c r="B256" s="10" t="inlineStr">
        <is>
          <t>Проведение тренингов по Бережливому производству</t>
        </is>
      </c>
      <c r="C256" s="19">
        <f>IF('Оценки'!K256="","",'Оценки'!K256)</f>
        <v/>
      </c>
      <c r="D256" s="19">
        <f>IF('Оценки'!C256="","",'Оценки'!C256)</f>
        <v/>
      </c>
      <c r="E256" s="19">
        <f>IF(COUNT('Оценки'!D256:F256)=0,"",AVERAGE('Оценки'!D256:F256))</f>
        <v/>
      </c>
      <c r="F256" s="19">
        <f>IF(COUNT('Оценки'!G256:I256)=0,"",AVERAGE('Оценки'!G256:I256))</f>
        <v/>
      </c>
      <c r="G256" s="19">
        <f>IF('Оценки'!J256="","",'Оценки'!J256)</f>
        <v/>
      </c>
      <c r="H256" s="19">
        <f>IF(COUNT(D256:G256)=0,"",AVERAGE(D256:G256))</f>
        <v/>
      </c>
      <c r="I256" s="19">
        <f>IF(OR(C256="",H256=""),"",C256-H256)</f>
        <v/>
      </c>
      <c r="J256" s="18">
        <f>IF(I256="","",IF(I256&gt;=0.5,"⚠ переоценивает себя",IF(H256&lt;3,"низкий уровень","")))</f>
        <v/>
      </c>
    </row>
    <row r="257">
      <c r="A257" s="18" t="inlineStr">
        <is>
          <t>РП-7</t>
        </is>
      </c>
      <c r="B257" s="10" t="inlineStr">
        <is>
          <t>Мониторинг проводимого обучения</t>
        </is>
      </c>
      <c r="C257" s="19">
        <f>IF('Оценки'!K257="","",'Оценки'!K257)</f>
        <v/>
      </c>
      <c r="D257" s="19">
        <f>IF('Оценки'!C257="","",'Оценки'!C257)</f>
        <v/>
      </c>
      <c r="E257" s="19">
        <f>IF(COUNT('Оценки'!D257:F257)=0,"",AVERAGE('Оценки'!D257:F257))</f>
        <v/>
      </c>
      <c r="F257" s="19">
        <f>IF(COUNT('Оценки'!G257:I257)=0,"",AVERAGE('Оценки'!G257:I257))</f>
        <v/>
      </c>
      <c r="G257" s="19">
        <f>IF('Оценки'!J257="","",'Оценки'!J257)</f>
        <v/>
      </c>
      <c r="H257" s="19">
        <f>IF(COUNT(D257:G257)=0,"",AVERAGE(D257:G257))</f>
        <v/>
      </c>
      <c r="I257" s="19">
        <f>IF(OR(C257="",H257=""),"",C257-H257)</f>
        <v/>
      </c>
      <c r="J257" s="18">
        <f>IF(I257="","",IF(I257&gt;=0.5,"⚠ переоценивает себя",IF(H257&lt;3,"низкий уровень","")))</f>
        <v/>
      </c>
    </row>
    <row r="258">
      <c r="A258" s="18" t="inlineStr">
        <is>
          <t>РП-7</t>
        </is>
      </c>
      <c r="B258" s="11" t="inlineStr">
        <is>
          <t>Картирование потоков и «Диаграмма спагетти»</t>
        </is>
      </c>
      <c r="C258" s="19">
        <f>IF('Оценки'!K258="","",'Оценки'!K258)</f>
        <v/>
      </c>
      <c r="D258" s="19">
        <f>IF('Оценки'!C258="","",'Оценки'!C258)</f>
        <v/>
      </c>
      <c r="E258" s="19">
        <f>IF(COUNT('Оценки'!D258:F258)=0,"",AVERAGE('Оценки'!D258:F258))</f>
        <v/>
      </c>
      <c r="F258" s="19">
        <f>IF(COUNT('Оценки'!G258:I258)=0,"",AVERAGE('Оценки'!G258:I258))</f>
        <v/>
      </c>
      <c r="G258" s="19">
        <f>IF('Оценки'!J258="","",'Оценки'!J258)</f>
        <v/>
      </c>
      <c r="H258" s="19">
        <f>IF(COUNT(D258:G258)=0,"",AVERAGE(D258:G258))</f>
        <v/>
      </c>
      <c r="I258" s="19">
        <f>IF(OR(C258="",H258=""),"",C258-H258)</f>
        <v/>
      </c>
      <c r="J258" s="18">
        <f>IF(I258="","",IF(I258&gt;=0.5,"⚠ переоценивает себя",IF(H258&lt;3,"низкий уровень","")))</f>
        <v/>
      </c>
    </row>
    <row r="259">
      <c r="A259" s="18" t="inlineStr">
        <is>
          <t>РП-7</t>
        </is>
      </c>
      <c r="B259" s="11" t="inlineStr">
        <is>
          <t>Производственный анализ</t>
        </is>
      </c>
      <c r="C259" s="19">
        <f>IF('Оценки'!K259="","",'Оценки'!K259)</f>
        <v/>
      </c>
      <c r="D259" s="19">
        <f>IF('Оценки'!C259="","",'Оценки'!C259)</f>
        <v/>
      </c>
      <c r="E259" s="19">
        <f>IF(COUNT('Оценки'!D259:F259)=0,"",AVERAGE('Оценки'!D259:F259))</f>
        <v/>
      </c>
      <c r="F259" s="19">
        <f>IF(COUNT('Оценки'!G259:I259)=0,"",AVERAGE('Оценки'!G259:I259))</f>
        <v/>
      </c>
      <c r="G259" s="19">
        <f>IF('Оценки'!J259="","",'Оценки'!J259)</f>
        <v/>
      </c>
      <c r="H259" s="19">
        <f>IF(COUNT(D259:G259)=0,"",AVERAGE(D259:G259))</f>
        <v/>
      </c>
      <c r="I259" s="19">
        <f>IF(OR(C259="",H259=""),"",C259-H259)</f>
        <v/>
      </c>
      <c r="J259" s="18">
        <f>IF(I259="","",IF(I259&gt;=0.5,"⚠ переоценивает себя",IF(H259&lt;3,"низкий уровень","")))</f>
        <v/>
      </c>
    </row>
    <row r="260">
      <c r="A260" s="18" t="inlineStr">
        <is>
          <t>РП-7</t>
        </is>
      </c>
      <c r="B260" s="11" t="inlineStr">
        <is>
          <t>Поток единичных изделий</t>
        </is>
      </c>
      <c r="C260" s="19">
        <f>IF('Оценки'!K260="","",'Оценки'!K260)</f>
        <v/>
      </c>
      <c r="D260" s="19">
        <f>IF('Оценки'!C260="","",'Оценки'!C260)</f>
        <v/>
      </c>
      <c r="E260" s="19">
        <f>IF(COUNT('Оценки'!D260:F260)=0,"",AVERAGE('Оценки'!D260:F260))</f>
        <v/>
      </c>
      <c r="F260" s="19">
        <f>IF(COUNT('Оценки'!G260:I260)=0,"",AVERAGE('Оценки'!G260:I260))</f>
        <v/>
      </c>
      <c r="G260" s="19">
        <f>IF('Оценки'!J260="","",'Оценки'!J260)</f>
        <v/>
      </c>
      <c r="H260" s="19">
        <f>IF(COUNT(D260:G260)=0,"",AVERAGE(D260:G260))</f>
        <v/>
      </c>
      <c r="I260" s="19">
        <f>IF(OR(C260="",H260=""),"",C260-H260)</f>
        <v/>
      </c>
      <c r="J260" s="18">
        <f>IF(I260="","",IF(I260&gt;=0.5,"⚠ переоценивает себя",IF(H260&lt;3,"низкий уровень","")))</f>
        <v/>
      </c>
    </row>
    <row r="261">
      <c r="A261" s="18" t="inlineStr">
        <is>
          <t>РП-7</t>
        </is>
      </c>
      <c r="B261" s="11" t="inlineStr">
        <is>
          <t>Система «Канбан»</t>
        </is>
      </c>
      <c r="C261" s="19">
        <f>IF('Оценки'!K261="","",'Оценки'!K261)</f>
        <v/>
      </c>
      <c r="D261" s="19">
        <f>IF('Оценки'!C261="","",'Оценки'!C261)</f>
        <v/>
      </c>
      <c r="E261" s="19">
        <f>IF(COUNT('Оценки'!D261:F261)=0,"",AVERAGE('Оценки'!D261:F261))</f>
        <v/>
      </c>
      <c r="F261" s="19">
        <f>IF(COUNT('Оценки'!G261:I261)=0,"",AVERAGE('Оценки'!G261:I261))</f>
        <v/>
      </c>
      <c r="G261" s="19">
        <f>IF('Оценки'!J261="","",'Оценки'!J261)</f>
        <v/>
      </c>
      <c r="H261" s="19">
        <f>IF(COUNT(D261:G261)=0,"",AVERAGE(D261:G261))</f>
        <v/>
      </c>
      <c r="I261" s="19">
        <f>IF(OR(C261="",H261=""),"",C261-H261)</f>
        <v/>
      </c>
      <c r="J261" s="18">
        <f>IF(I261="","",IF(I261&gt;=0.5,"⚠ переоценивает себя",IF(H261&lt;3,"низкий уровень","")))</f>
        <v/>
      </c>
    </row>
    <row r="262">
      <c r="A262" s="18" t="inlineStr">
        <is>
          <t>РП-7</t>
        </is>
      </c>
      <c r="B262" s="11" t="inlineStr">
        <is>
          <t>Стандартизированная работа</t>
        </is>
      </c>
      <c r="C262" s="19">
        <f>IF('Оценки'!K262="","",'Оценки'!K262)</f>
        <v/>
      </c>
      <c r="D262" s="19">
        <f>IF('Оценки'!C262="","",'Оценки'!C262)</f>
        <v/>
      </c>
      <c r="E262" s="19">
        <f>IF(COUNT('Оценки'!D262:F262)=0,"",AVERAGE('Оценки'!D262:F262))</f>
        <v/>
      </c>
      <c r="F262" s="19">
        <f>IF(COUNT('Оценки'!G262:I262)=0,"",AVERAGE('Оценки'!G262:I262))</f>
        <v/>
      </c>
      <c r="G262" s="19">
        <f>IF('Оценки'!J262="","",'Оценки'!J262)</f>
        <v/>
      </c>
      <c r="H262" s="19">
        <f>IF(COUNT(D262:G262)=0,"",AVERAGE(D262:G262))</f>
        <v/>
      </c>
      <c r="I262" s="19">
        <f>IF(OR(C262="",H262=""),"",C262-H262)</f>
        <v/>
      </c>
      <c r="J262" s="18">
        <f>IF(I262="","",IF(I262&gt;=0.5,"⚠ переоценивает себя",IF(H262&lt;3,"низкий уровень","")))</f>
        <v/>
      </c>
    </row>
    <row r="263">
      <c r="A263" s="18" t="inlineStr">
        <is>
          <t>РП-7</t>
        </is>
      </c>
      <c r="B263" s="11" t="inlineStr">
        <is>
          <t>Методы поиска первопричин и решения проблем</t>
        </is>
      </c>
      <c r="C263" s="19">
        <f>IF('Оценки'!K263="","",'Оценки'!K263)</f>
        <v/>
      </c>
      <c r="D263" s="19">
        <f>IF('Оценки'!C263="","",'Оценки'!C263)</f>
        <v/>
      </c>
      <c r="E263" s="19">
        <f>IF(COUNT('Оценки'!D263:F263)=0,"",AVERAGE('Оценки'!D263:F263))</f>
        <v/>
      </c>
      <c r="F263" s="19">
        <f>IF(COUNT('Оценки'!G263:I263)=0,"",AVERAGE('Оценки'!G263:I263))</f>
        <v/>
      </c>
      <c r="G263" s="19">
        <f>IF('Оценки'!J263="","",'Оценки'!J263)</f>
        <v/>
      </c>
      <c r="H263" s="19">
        <f>IF(COUNT(D263:G263)=0,"",AVERAGE(D263:G263))</f>
        <v/>
      </c>
      <c r="I263" s="19">
        <f>IF(OR(C263="",H263=""),"",C263-H263)</f>
        <v/>
      </c>
      <c r="J263" s="18">
        <f>IF(I263="","",IF(I263&gt;=0.5,"⚠ переоценивает себя",IF(H263&lt;3,"низкий уровень","")))</f>
        <v/>
      </c>
    </row>
    <row r="264">
      <c r="A264" s="18" t="inlineStr">
        <is>
          <t>РП-7</t>
        </is>
      </c>
      <c r="B264" s="11" t="inlineStr">
        <is>
          <t>Быстрая переналадка (SMED)</t>
        </is>
      </c>
      <c r="C264" s="19">
        <f>IF('Оценки'!K264="","",'Оценки'!K264)</f>
        <v/>
      </c>
      <c r="D264" s="19">
        <f>IF('Оценки'!C264="","",'Оценки'!C264)</f>
        <v/>
      </c>
      <c r="E264" s="19">
        <f>IF(COUNT('Оценки'!D264:F264)=0,"",AVERAGE('Оценки'!D264:F264))</f>
        <v/>
      </c>
      <c r="F264" s="19">
        <f>IF(COUNT('Оценки'!G264:I264)=0,"",AVERAGE('Оценки'!G264:I264))</f>
        <v/>
      </c>
      <c r="G264" s="19">
        <f>IF('Оценки'!J264="","",'Оценки'!J264)</f>
        <v/>
      </c>
      <c r="H264" s="19">
        <f>IF(COUNT(D264:G264)=0,"",AVERAGE(D264:G264))</f>
        <v/>
      </c>
      <c r="I264" s="19">
        <f>IF(OR(C264="",H264=""),"",C264-H264)</f>
        <v/>
      </c>
      <c r="J264" s="18">
        <f>IF(I264="","",IF(I264&gt;=0.5,"⚠ переоценивает себя",IF(H264&lt;3,"низкий уровень","")))</f>
        <v/>
      </c>
    </row>
    <row r="265">
      <c r="A265" s="18" t="inlineStr">
        <is>
          <t>РП-7</t>
        </is>
      </c>
      <c r="B265" s="11" t="inlineStr">
        <is>
          <t>«Poka-Yoke» (защита от ошибок)</t>
        </is>
      </c>
      <c r="C265" s="19">
        <f>IF('Оценки'!K265="","",'Оценки'!K265)</f>
        <v/>
      </c>
      <c r="D265" s="19">
        <f>IF('Оценки'!C265="","",'Оценки'!C265)</f>
        <v/>
      </c>
      <c r="E265" s="19">
        <f>IF(COUNT('Оценки'!D265:F265)=0,"",AVERAGE('Оценки'!D265:F265))</f>
        <v/>
      </c>
      <c r="F265" s="19">
        <f>IF(COUNT('Оценки'!G265:I265)=0,"",AVERAGE('Оценки'!G265:I265))</f>
        <v/>
      </c>
      <c r="G265" s="19">
        <f>IF('Оценки'!J265="","",'Оценки'!J265)</f>
        <v/>
      </c>
      <c r="H265" s="19">
        <f>IF(COUNT(D265:G265)=0,"",AVERAGE(D265:G265))</f>
        <v/>
      </c>
      <c r="I265" s="19">
        <f>IF(OR(C265="",H265=""),"",C265-H265)</f>
        <v/>
      </c>
      <c r="J265" s="18">
        <f>IF(I265="","",IF(I265&gt;=0.5,"⚠ переоценивает себя",IF(H265&lt;3,"низкий уровень","")))</f>
        <v/>
      </c>
    </row>
    <row r="266">
      <c r="A266" s="18" t="inlineStr">
        <is>
          <t>РП-7</t>
        </is>
      </c>
      <c r="B266" s="11" t="inlineStr">
        <is>
          <t>5С на производстве и в офисе</t>
        </is>
      </c>
      <c r="C266" s="19">
        <f>IF('Оценки'!K266="","",'Оценки'!K266)</f>
        <v/>
      </c>
      <c r="D266" s="19">
        <f>IF('Оценки'!C266="","",'Оценки'!C266)</f>
        <v/>
      </c>
      <c r="E266" s="19">
        <f>IF(COUNT('Оценки'!D266:F266)=0,"",AVERAGE('Оценки'!D266:F266))</f>
        <v/>
      </c>
      <c r="F266" s="19">
        <f>IF(COUNT('Оценки'!G266:I266)=0,"",AVERAGE('Оценки'!G266:I266))</f>
        <v/>
      </c>
      <c r="G266" s="19">
        <f>IF('Оценки'!J266="","",'Оценки'!J266)</f>
        <v/>
      </c>
      <c r="H266" s="19">
        <f>IF(COUNT(D266:G266)=0,"",AVERAGE(D266:G266))</f>
        <v/>
      </c>
      <c r="I266" s="19">
        <f>IF(OR(C266="",H266=""),"",C266-H266)</f>
        <v/>
      </c>
      <c r="J266" s="18">
        <f>IF(I266="","",IF(I266&gt;=0.5,"⚠ переоценивает себя",IF(H266&lt;3,"низкий уровень","")))</f>
        <v/>
      </c>
    </row>
    <row r="267">
      <c r="A267" s="18" t="inlineStr">
        <is>
          <t>РП-7</t>
        </is>
      </c>
      <c r="B267" s="11" t="inlineStr">
        <is>
          <t>ОЕЕ — анализ эффективности оборудования</t>
        </is>
      </c>
      <c r="C267" s="19">
        <f>IF('Оценки'!K267="","",'Оценки'!K267)</f>
        <v/>
      </c>
      <c r="D267" s="19">
        <f>IF('Оценки'!C267="","",'Оценки'!C267)</f>
        <v/>
      </c>
      <c r="E267" s="19">
        <f>IF(COUNT('Оценки'!D267:F267)=0,"",AVERAGE('Оценки'!D267:F267))</f>
        <v/>
      </c>
      <c r="F267" s="19">
        <f>IF(COUNT('Оценки'!G267:I267)=0,"",AVERAGE('Оценки'!G267:I267))</f>
        <v/>
      </c>
      <c r="G267" s="19">
        <f>IF('Оценки'!J267="","",'Оценки'!J267)</f>
        <v/>
      </c>
      <c r="H267" s="19">
        <f>IF(COUNT(D267:G267)=0,"",AVERAGE(D267:G267))</f>
        <v/>
      </c>
      <c r="I267" s="19">
        <f>IF(OR(C267="",H267=""),"",C267-H267)</f>
        <v/>
      </c>
      <c r="J267" s="18">
        <f>IF(I267="","",IF(I267&gt;=0.5,"⚠ переоценивает себя",IF(H267&lt;3,"низкий уровень","")))</f>
        <v/>
      </c>
    </row>
    <row r="268">
      <c r="A268" s="18" t="inlineStr">
        <is>
          <t>РП-7</t>
        </is>
      </c>
      <c r="B268" s="11" t="inlineStr">
        <is>
          <t>Автономное обслуживание оборудования</t>
        </is>
      </c>
      <c r="C268" s="19">
        <f>IF('Оценки'!K268="","",'Оценки'!K268)</f>
        <v/>
      </c>
      <c r="D268" s="19">
        <f>IF('Оценки'!C268="","",'Оценки'!C268)</f>
        <v/>
      </c>
      <c r="E268" s="19">
        <f>IF(COUNT('Оценки'!D268:F268)=0,"",AVERAGE('Оценки'!D268:F268))</f>
        <v/>
      </c>
      <c r="F268" s="19">
        <f>IF(COUNT('Оценки'!G268:I268)=0,"",AVERAGE('Оценки'!G268:I268))</f>
        <v/>
      </c>
      <c r="G268" s="19">
        <f>IF('Оценки'!J268="","",'Оценки'!J268)</f>
        <v/>
      </c>
      <c r="H268" s="19">
        <f>IF(COUNT(D268:G268)=0,"",AVERAGE(D268:G268))</f>
        <v/>
      </c>
      <c r="I268" s="19">
        <f>IF(OR(C268="",H268=""),"",C268-H268)</f>
        <v/>
      </c>
      <c r="J268" s="18">
        <f>IF(I268="","",IF(I268&gt;=0.5,"⚠ переоценивает себя",IF(H268&lt;3,"низкий уровень","")))</f>
        <v/>
      </c>
    </row>
    <row r="269">
      <c r="A269" s="18" t="inlineStr">
        <is>
          <t>РП-7</t>
        </is>
      </c>
      <c r="B269" s="11" t="inlineStr">
        <is>
          <t>Управление запасами</t>
        </is>
      </c>
      <c r="C269" s="19">
        <f>IF('Оценки'!K269="","",'Оценки'!K269)</f>
        <v/>
      </c>
      <c r="D269" s="19">
        <f>IF('Оценки'!C269="","",'Оценки'!C269)</f>
        <v/>
      </c>
      <c r="E269" s="19">
        <f>IF(COUNT('Оценки'!D269:F269)=0,"",AVERAGE('Оценки'!D269:F269))</f>
        <v/>
      </c>
      <c r="F269" s="19">
        <f>IF(COUNT('Оценки'!G269:I269)=0,"",AVERAGE('Оценки'!G269:I269))</f>
        <v/>
      </c>
      <c r="G269" s="19">
        <f>IF('Оценки'!J269="","",'Оценки'!J269)</f>
        <v/>
      </c>
      <c r="H269" s="19">
        <f>IF(COUNT(D269:G269)=0,"",AVERAGE(D269:G269))</f>
        <v/>
      </c>
      <c r="I269" s="19">
        <f>IF(OR(C269="",H269=""),"",C269-H269)</f>
        <v/>
      </c>
      <c r="J269" s="18">
        <f>IF(I269="","",IF(I269&gt;=0.5,"⚠ переоценивает себя",IF(H269&lt;3,"низкий уровень","")))</f>
        <v/>
      </c>
    </row>
    <row r="270">
      <c r="A270" s="18" t="inlineStr">
        <is>
          <t>РП-7</t>
        </is>
      </c>
      <c r="B270" s="12" t="inlineStr">
        <is>
          <t>Сбор и проверка данных от предприятий-участников, выработка корректирующих мероприятий</t>
        </is>
      </c>
      <c r="C270" s="19">
        <f>IF('Оценки'!K270="","",'Оценки'!K270)</f>
        <v/>
      </c>
      <c r="D270" s="19">
        <f>IF('Оценки'!C270="","",'Оценки'!C270)</f>
        <v/>
      </c>
      <c r="E270" s="19">
        <f>IF(COUNT('Оценки'!D270:F270)=0,"",AVERAGE('Оценки'!D270:F270))</f>
        <v/>
      </c>
      <c r="F270" s="19">
        <f>IF(COUNT('Оценки'!G270:I270)=0,"",AVERAGE('Оценки'!G270:I270))</f>
        <v/>
      </c>
      <c r="G270" s="19">
        <f>IF('Оценки'!J270="","",'Оценки'!J270)</f>
        <v/>
      </c>
      <c r="H270" s="19">
        <f>IF(COUNT(D270:G270)=0,"",AVERAGE(D270:G270))</f>
        <v/>
      </c>
      <c r="I270" s="19">
        <f>IF(OR(C270="",H270=""),"",C270-H270)</f>
        <v/>
      </c>
      <c r="J270" s="18">
        <f>IF(I270="","",IF(I270&gt;=0.5,"⚠ переоценивает себя",IF(H270&lt;3,"низкий уровень","")))</f>
        <v/>
      </c>
    </row>
    <row r="271">
      <c r="A271" s="18" t="inlineStr">
        <is>
          <t>РП-7</t>
        </is>
      </c>
      <c r="B271" s="12" t="inlineStr">
        <is>
          <t>Мониторинг реализации программы на фазе «Тиражирование и совершенствование» (поддерживающие сессии)</t>
        </is>
      </c>
      <c r="C271" s="19">
        <f>IF('Оценки'!K271="","",'Оценки'!K271)</f>
        <v/>
      </c>
      <c r="D271" s="19">
        <f>IF('Оценки'!C271="","",'Оценки'!C271)</f>
        <v/>
      </c>
      <c r="E271" s="19">
        <f>IF(COUNT('Оценки'!D271:F271)=0,"",AVERAGE('Оценки'!D271:F271))</f>
        <v/>
      </c>
      <c r="F271" s="19">
        <f>IF(COUNT('Оценки'!G271:I271)=0,"",AVERAGE('Оценки'!G271:I271))</f>
        <v/>
      </c>
      <c r="G271" s="19">
        <f>IF('Оценки'!J271="","",'Оценки'!J271)</f>
        <v/>
      </c>
      <c r="H271" s="19">
        <f>IF(COUNT(D271:G271)=0,"",AVERAGE(D271:G271))</f>
        <v/>
      </c>
      <c r="I271" s="19">
        <f>IF(OR(C271="",H271=""),"",C271-H271)</f>
        <v/>
      </c>
      <c r="J271" s="18">
        <f>IF(I271="","",IF(I271&gt;=0.5,"⚠ переоценивает себя",IF(H271&lt;3,"низкий уровень","")))</f>
        <v/>
      </c>
    </row>
    <row r="272">
      <c r="A272" s="18" t="inlineStr">
        <is>
          <t>РП-7</t>
        </is>
      </c>
      <c r="B272" s="12" t="inlineStr">
        <is>
          <t>Поиск и распространение лучших практик по производительности труда</t>
        </is>
      </c>
      <c r="C272" s="19">
        <f>IF('Оценки'!K272="","",'Оценки'!K272)</f>
        <v/>
      </c>
      <c r="D272" s="19">
        <f>IF('Оценки'!C272="","",'Оценки'!C272)</f>
        <v/>
      </c>
      <c r="E272" s="19">
        <f>IF(COUNT('Оценки'!D272:F272)=0,"",AVERAGE('Оценки'!D272:F272))</f>
        <v/>
      </c>
      <c r="F272" s="19">
        <f>IF(COUNT('Оценки'!G272:I272)=0,"",AVERAGE('Оценки'!G272:I272))</f>
        <v/>
      </c>
      <c r="G272" s="19">
        <f>IF('Оценки'!J272="","",'Оценки'!J272)</f>
        <v/>
      </c>
      <c r="H272" s="19">
        <f>IF(COUNT(D272:G272)=0,"",AVERAGE(D272:G272))</f>
        <v/>
      </c>
      <c r="I272" s="19">
        <f>IF(OR(C272="",H272=""),"",C272-H272)</f>
        <v/>
      </c>
      <c r="J272" s="18">
        <f>IF(I272="","",IF(I272&gt;=0.5,"⚠ переоценивает себя",IF(H272&lt;3,"низкий уровень","")))</f>
        <v/>
      </c>
    </row>
    <row r="273">
      <c r="A273" s="18" t="inlineStr">
        <is>
          <t>РП-7</t>
        </is>
      </c>
      <c r="B273" s="12" t="inlineStr">
        <is>
          <t>Организация работы с предложениями по улучшению (ППУ)</t>
        </is>
      </c>
      <c r="C273" s="19">
        <f>IF('Оценки'!K273="","",'Оценки'!K273)</f>
        <v/>
      </c>
      <c r="D273" s="19">
        <f>IF('Оценки'!C273="","",'Оценки'!C273)</f>
        <v/>
      </c>
      <c r="E273" s="19">
        <f>IF(COUNT('Оценки'!D273:F273)=0,"",AVERAGE('Оценки'!D273:F273))</f>
        <v/>
      </c>
      <c r="F273" s="19">
        <f>IF(COUNT('Оценки'!G273:I273)=0,"",AVERAGE('Оценки'!G273:I273))</f>
        <v/>
      </c>
      <c r="G273" s="19">
        <f>IF('Оценки'!J273="","",'Оценки'!J273)</f>
        <v/>
      </c>
      <c r="H273" s="19">
        <f>IF(COUNT(D273:G273)=0,"",AVERAGE(D273:G273))</f>
        <v/>
      </c>
      <c r="I273" s="19">
        <f>IF(OR(C273="",H273=""),"",C273-H273)</f>
        <v/>
      </c>
      <c r="J273" s="18">
        <f>IF(I273="","",IF(I273&gt;=0.5,"⚠ переоценивает себя",IF(H273&lt;3,"низкий уровень","")))</f>
        <v/>
      </c>
    </row>
    <row r="274">
      <c r="A274" s="18" t="inlineStr">
        <is>
          <t>РП-7</t>
        </is>
      </c>
      <c r="B274" s="12" t="inlineStr">
        <is>
          <t>Ведение мониторинга проектов в подсистеме «Совместная работа» на ИТ-платформе</t>
        </is>
      </c>
      <c r="C274" s="19">
        <f>IF('Оценки'!K274="","",'Оценки'!K274)</f>
        <v/>
      </c>
      <c r="D274" s="19">
        <f>IF('Оценки'!C274="","",'Оценки'!C274)</f>
        <v/>
      </c>
      <c r="E274" s="19">
        <f>IF(COUNT('Оценки'!D274:F274)=0,"",AVERAGE('Оценки'!D274:F274))</f>
        <v/>
      </c>
      <c r="F274" s="19">
        <f>IF(COUNT('Оценки'!G274:I274)=0,"",AVERAGE('Оценки'!G274:I274))</f>
        <v/>
      </c>
      <c r="G274" s="19">
        <f>IF('Оценки'!J274="","",'Оценки'!J274)</f>
        <v/>
      </c>
      <c r="H274" s="19">
        <f>IF(COUNT(D274:G274)=0,"",AVERAGE(D274:G274))</f>
        <v/>
      </c>
      <c r="I274" s="19">
        <f>IF(OR(C274="",H274=""),"",C274-H274)</f>
        <v/>
      </c>
      <c r="J274" s="18">
        <f>IF(I274="","",IF(I274&gt;=0.5,"⚠ переоценивает себя",IF(H274&lt;3,"низкий уровень","")))</f>
        <v/>
      </c>
    </row>
    <row r="275">
      <c r="A275" s="20" t="inlineStr">
        <is>
          <t>РП-7</t>
        </is>
      </c>
      <c r="B275" s="20" t="inlineStr">
        <is>
          <t>ИТОГО (среднее по всем компетенциям)</t>
        </is>
      </c>
      <c r="C275" s="21">
        <f>IF(COUNT(C238:C274)=0,"",AVERAGE(C238:C274))</f>
        <v/>
      </c>
      <c r="D275" s="21">
        <f>IF(COUNT(D238:D274)=0,"",AVERAGE(D238:D274))</f>
        <v/>
      </c>
      <c r="E275" s="21">
        <f>IF(COUNT(E238:E274)=0,"",AVERAGE(E238:E274))</f>
        <v/>
      </c>
      <c r="F275" s="21">
        <f>IF(COUNT(F238:F274)=0,"",AVERAGE(F238:F274))</f>
        <v/>
      </c>
      <c r="G275" s="21">
        <f>IF(COUNT(G238:G274)=0,"",AVERAGE(G238:G274))</f>
        <v/>
      </c>
      <c r="H275" s="21">
        <f>IF(COUNT(H238:H274)=0,"",AVERAGE(H238:H274))</f>
        <v/>
      </c>
      <c r="I275" s="21">
        <f>IF(OR(C275="",H275=""),"",C275-H275)</f>
        <v/>
      </c>
      <c r="J275" s="20">
        <f>IF(I275="","",IF(I275&gt;=0.5,"⚠ переоценивает себя",IF(H275&lt;3,"низкий уровень","")))</f>
        <v/>
      </c>
    </row>
  </sheetData>
  <mergeCells count="2">
    <mergeCell ref="A1:J1"/>
    <mergeCell ref="A2:J2"/>
  </mergeCells>
  <conditionalFormatting sqref="I4:I275">
    <cfRule type="cellIs" priority="1" operator="greaterThanOrEqual" dxfId="0">
      <formula>0.5</formula>
    </cfRule>
  </conditionalFormatting>
  <conditionalFormatting sqref="H4:H275">
    <cfRule type="cellIs" priority="2" operator="lessThan" dxfId="1">
      <formula>3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6" customWidth="1" min="3" max="3"/>
    <col width="12" customWidth="1" min="4" max="4"/>
    <col width="12" customWidth="1" min="5" max="5"/>
    <col width="48" customWidth="1" min="6" max="6"/>
    <col width="20" customWidth="1" min="7" max="7"/>
    <col width="14" customWidth="1" min="8" max="8"/>
    <col width="12" customWidth="1" min="9" max="9"/>
    <col width="10" customWidth="1" min="10" max="10"/>
  </cols>
  <sheetData>
    <row r="1">
      <c r="A1" s="4" t="inlineStr">
        <is>
          <t>ПЛАН РАЗВИТИЯ СОТРУДНИКА РЦК (формат — приложение № 6 МР; заполняется после встречи, на основе «Сводки»)</t>
        </is>
      </c>
    </row>
    <row r="2" ht="52" customHeight="1">
      <c r="A2" s="5" t="inlineStr">
        <is>
          <t>Уровни по шкале 360: 1–5 (см. «Инструкцию»). Для профессиональных инструментов (картирование, 5С, производственный анализ и др.) МР (приложение № 6) использует шкалу 0,0–3,0 с шагом 0,5: 0,0 — не соответствует требованиям; 0,5 — начальный уровень; 1,0 — большей частью не соответствует; 1,5 — большей частью соответствует; 2,0 — полностью соответствует; 2,5 — по некоторым направлениям превосходит; 3,0 — превосходит требования. Целевой уровень по итогам развития — не ниже 1,5 (МР). С планом ознакомлены: сотрудник РЦК, наставник, руководитель РЦК (подписи и даты).</t>
        </is>
      </c>
    </row>
    <row r="3" ht="40" customHeight="1">
      <c r="A3" s="6" t="inlineStr">
        <is>
          <t>Сотрудник РЦК (ФИО)</t>
        </is>
      </c>
      <c r="B3" s="6" t="inlineStr">
        <is>
          <t>Направление работы в РЦК</t>
        </is>
      </c>
      <c r="C3" s="6" t="inlineStr">
        <is>
          <t>Компетенция (результат 360: низкий балл / разрыв)</t>
        </is>
      </c>
      <c r="D3" s="6" t="inlineStr">
        <is>
          <t>Уровень на старте (по 360)</t>
        </is>
      </c>
      <c r="E3" s="6" t="inlineStr">
        <is>
          <t>Целевой уровень</t>
        </is>
      </c>
      <c r="F3" s="6" t="inlineStr">
        <is>
          <t>Мероприятия развития (обучение, стажировка, практика, наставничество)</t>
        </is>
      </c>
      <c r="G3" s="6" t="inlineStr">
        <is>
          <t>Наставник (РП ФЦК / РЦК)</t>
        </is>
      </c>
      <c r="H3" s="6" t="inlineStr">
        <is>
          <t>Срок</t>
        </is>
      </c>
      <c r="I3" s="6" t="inlineStr">
        <is>
          <t>Оценка (факт)</t>
        </is>
      </c>
      <c r="J3" s="6" t="inlineStr">
        <is>
          <t>Статус</t>
        </is>
      </c>
    </row>
    <row r="4">
      <c r="A4" s="15" t="inlineStr">
        <is>
          <t>Смирнов А. П. (ПРИМЕР)</t>
        </is>
      </c>
      <c r="B4" s="15" t="inlineStr">
        <is>
          <t>(например: Оптимизация потоков и процессов)</t>
        </is>
      </c>
      <c r="C4" s="15" t="inlineStr">
        <is>
          <t>Проведение оценки на соответствие предприятия обязательным критериям: разрыв «себя − другие» = 1.3 (себя 5.0; другие 3.7)</t>
        </is>
      </c>
      <c r="D4" s="15" t="inlineStr">
        <is>
          <t>3.7</t>
        </is>
      </c>
      <c r="E4" s="15" t="inlineStr">
        <is>
          <t>5.0</t>
        </is>
      </c>
      <c r="F4" s="15" t="inlineStr">
        <is>
          <t>Практика на площадке под наблюдением наставника (2–3 применения навыка), методический разбор с наставником, защита презентации результата; при необходимости — обучение (программы «Академии производительности»)</t>
        </is>
      </c>
      <c r="G4" s="15" t="inlineStr">
        <is>
          <t>(ФИО РП ФЦК / РЦК)</t>
        </is>
      </c>
      <c r="H4" s="15" t="inlineStr">
        <is>
          <t>к концу квартала</t>
        </is>
      </c>
      <c r="I4" s="15" t="inlineStr"/>
      <c r="J4" s="15" t="inlineStr">
        <is>
          <t>план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2026-09-03T08:50:23Z</dcterms:created>
  <dcterms:modified xsi:type="dcterms:W3CDTF">2026-09-03T08:50:23Z</dcterms:modified>
</cp:coreProperties>
</file>
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омпетенции" sheetId="2" state="visible" r:id="rId2"/>
    <sheet name="Оценки" sheetId="3" state="visible" r:id="rId3"/>
    <sheet name="Сводка" sheetId="4" state="visible" r:id="rId4"/>
    <sheet name="Итоги" sheetId="5" state="visible" r:id="rId5"/>
    <sheet name="План развит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9C0006"/>
      <sz val="11"/>
    </font>
    <font>
      <color rgb="00000000"/>
      <sz val="11"/>
    </font>
    <font>
      <i val="1"/>
      <color rgb="00808080"/>
      <sz val="10"/>
    </font>
    <font>
      <b val="1"/>
      <color rgb="00FFFFFF"/>
    </font>
    <font>
      <b val="1"/>
      <color rgb="009C0006"/>
      <sz val="10"/>
    </font>
    <font>
      <b val="1"/>
      <color rgb="009C0006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8" fillId="7" borderId="0" applyAlignment="1" pivotButton="0" quotePrefix="0" xfId="0">
      <alignment vertical="center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vertical="center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9" fillId="4" borderId="1" pivotButton="0" quotePrefix="0" xfId="0"/>
    <xf numFmtId="164" fontId="9" fillId="4" borderId="1" applyAlignment="1" pivotButton="0" quotePrefix="0" xfId="0">
      <alignment horizontal="center" vertical="center" wrapText="1"/>
    </xf>
    <xf numFmtId="0" fontId="9" fillId="0" borderId="1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ОЦЕНКА 360° РУКОВОДИТЕЛЕЙ ПРОЕКТОВ РЦК — ИНСТРУКЦИЯ ПО ПРОВЕДЕНИЮ</t>
        </is>
      </c>
    </row>
    <row r="3">
      <c r="B3" s="2" t="inlineStr">
        <is>
          <t>Состав: 6 руководителей проектов — Кущенко Д. А., Горбунова А. М., Бутым Б. С., Маслаков А. В., Яковлев А. В., Неробеева А. Э..</t>
        </is>
      </c>
    </row>
    <row r="5">
      <c r="B5" s="2" t="inlineStr">
        <is>
          <t>ФОРМАТ: каждый руководитель оценивается только КОЛЛЕГАМИ (остальные 5 руководителей проектов) и оценивает себя сам. Руководитель, подчинённые и клиенты в оценке не участвуют.</t>
        </is>
      </c>
    </row>
    <row r="7">
      <c r="B7" s="3" t="inlineStr">
        <is>
          <t>ВНИМАНИЕ: все 6 блоков заполнены ДЕМОНСТРАЦИОННЫМИ оценками (пример, не реальные результаты). Файл показывает, как выглядит завершённый отчёт. Для реального 360 замените оценки на реальные оценки коллег и самооценки — «Сводка» и «Итоги» пересчитаются автоматически.</t>
        </is>
      </c>
    </row>
    <row r="9">
      <c r="B9" s="2" t="inlineStr">
        <is>
          <t>ШКАЛА ОЦЕНИВАНИЯ (для всех компетенций):</t>
        </is>
      </c>
    </row>
    <row r="10">
      <c r="B10" s="4" t="inlineStr">
        <is>
          <t>1 — Не соответствует: поведение не наблюдается, компетенция не проявляется</t>
        </is>
      </c>
    </row>
    <row r="11">
      <c r="B11" s="4" t="inlineStr">
        <is>
          <t>2 — Частично соответствует: проявления единичные, нестабильные</t>
        </is>
      </c>
    </row>
    <row r="12">
      <c r="B12" s="4" t="inlineStr">
        <is>
          <t>3 — Соответствует: устойчивое поведение, соответствует требованиям</t>
        </is>
      </c>
    </row>
    <row r="13">
      <c r="B13" s="4" t="inlineStr">
        <is>
          <t>4 — Высокий уровень: устойчиво превышает требования, пример для коллег</t>
        </is>
      </c>
    </row>
    <row r="14">
      <c r="B14" s="4" t="inlineStr">
        <is>
          <t>5 — Выдающийся: лучший в организации, менторит и обучает других</t>
        </is>
      </c>
    </row>
    <row r="16">
      <c r="B16" s="2" t="inlineStr">
        <is>
          <t>ШАГИ ПРОВЕДЕНИЯ:</t>
        </is>
      </c>
    </row>
    <row r="17">
      <c r="B17" s="4" t="inlineStr">
        <is>
          <t>1. Каждый из 6 руководителей проектов заполняет: (а) самооценку — свой столбец «Сам (сама)» в СВОЁМ блоке; (б) оценки остальных 5 коллег — СВОЙ столбец в блоках каждого из 5. Итого каждый заполняет 6 блоков (по 37 компетенций). Файл можно передавать по очереди или собрать онлайн-формой и внести централизованно.</t>
        </is>
      </c>
    </row>
    <row r="18">
      <c r="B18" s="4" t="inlineStr">
        <is>
          <t>2. Проведите короткий инструктаж: цель оценки — развитие (не депремирование), шкала 1–5, конфиденциальность (результаты отдельных людей никому не показываются, только среднее по коллегам), срок — 1–2 недели (оценок немного: 6 блоков).</t>
        </is>
      </c>
    </row>
    <row r="19">
      <c r="B19" s="4" t="inlineStr">
        <is>
          <t>3. Столбцы «Коллега 1–5» — это конкретные люди; соответствие «столбец ↔ фамилия» фиксирует организатор отдельно (не в таблице!). Организатор контролирует, чтобы каждый коллега не оценивал себя в чужом блоке (в столбцах коллег только оценки, данные о самом себе человек ставит только в «Сам (сама)»).</t>
        </is>
      </c>
    </row>
    <row r="20">
      <c r="B20" s="4" t="inlineStr">
        <is>
          <t>4. Лист «Сводка» считается автоматически: среднее по 5 коллегам, самооценка и разрыв «себя vs. коллеги» по каждой компетенции. Сигналы: красный разрыв ≥ 0,5 — руководитель переоценивает себя; оранжевый средний балл коллег &lt; 3 — компетенция ниже требуемого уровня.</t>
        </is>
      </c>
    </row>
    <row r="21">
      <c r="B21" s="4" t="inlineStr">
        <is>
          <t>5. Лист «Итоги» — готовый отчёт по каждому руководителю: баллы коллег, разрыв, средние по 4 группам «Действий», сильные стороны, зоны развития (считается автоматически).</t>
        </is>
      </c>
    </row>
    <row r="22">
      <c r="B22" s="4" t="inlineStr">
        <is>
          <t>6. Проведите личную встречу с каждым руководителем (20–30 минут): покажите сводку (только среднее по коллегам, без имён), обсудите 2–3 сильные стороны и 2–3 зоны развития, согласуйте план развития (лист «План развития», формат — по приложению № 6 МР).</t>
        </is>
      </c>
    </row>
    <row r="24">
      <c r="B24" s="2" t="inlineStr">
        <is>
          <t>ПРАВИЛА КОНФИДЕНЦИАЛЬНОСТИ:</t>
        </is>
      </c>
    </row>
    <row r="25">
      <c r="B25" s="4" t="inlineStr">
        <is>
          <t>• Опасываемый видит только среднее по коллегам и общий результат — не оценки конкретных людей.</t>
        </is>
      </c>
    </row>
    <row r="26">
      <c r="B26" s="4" t="inlineStr">
        <is>
          <t>• Лист «Оценки» (сырые данные) хранит и видит только организатор оценки (вы).</t>
        </is>
      </c>
    </row>
    <row r="27">
      <c r="B27" s="4" t="inlineStr">
        <is>
          <t>• Коллег всего 5 — при таком числе среднее раскрывает оценки отдельных людей, поэтому раздельные оценки никому не разглашайте; обсуждайте только групповое среднее.</t>
        </is>
      </c>
    </row>
    <row r="28">
      <c r="B28" s="4" t="inlineStr">
        <is>
          <t>• Оценки используются для развития (coaching, обучение, план развития), а не для депремирования — иначе коллеги будут оценивать «для галочки» или с осторожностью.</t>
        </is>
      </c>
    </row>
    <row r="30">
      <c r="B30" s="2" t="inlineStr">
        <is>
          <t>ИСТОЧНИК КОМПЕТЕНЦИЙ:</t>
        </is>
      </c>
    </row>
    <row r="31">
      <c r="B31" s="4" t="inlineStr">
        <is>
          <t>• 37 компетенций — модель профессиональных компетенций сотрудников РЦК (приложение № 3 МР-02-2025 «Организация работы региональных центров компетенций в сфере производительности труда в субъектах РФ», ред. 1, утв. ФЦК 28.01.2025), 4 группы «Действий». Ссылки на пункты МР — на листе «Компетенции».</t>
        </is>
      </c>
    </row>
    <row r="32">
      <c r="B32" s="4" t="inlineStr">
        <is>
          <t>• Формат плана развития и шкала уровней (0–3, шаг 0,5) — приложение № 6 МР-02-2025 «Организация работы региональных центров компетенций в сфере производительности труда в субъектах РФ», ред. 1, утв. ФЦК 28.01.2025. Пункт 10.4 МР: матрица компетенций и планы развития сотрудников размещаются в инфоцентре РЦК.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46" customWidth="1" min="3" max="3"/>
    <col width="88" customWidth="1" min="4" max="4"/>
  </cols>
  <sheetData>
    <row r="1">
      <c r="A1" s="5" t="inlineStr">
        <is>
          <t>Модель профессиональных компетенций руководителя проекта РЦК (приложение № 3 МР, 37 компетенций)</t>
        </is>
      </c>
    </row>
    <row r="2" ht="26" customHeight="1">
      <c r="A2" s="6" t="inlineStr">
        <is>
          <t>Наименования — точно по приложению № 3 МР-02-2025 (ред. 1). Цвет — группы «Действий». При изменении списка сохраняйте порядок строк на листах «Оценки» и «Сводка».</t>
        </is>
      </c>
    </row>
    <row r="3">
      <c r="A3" s="7" t="inlineStr">
        <is>
          <t>№</t>
        </is>
      </c>
      <c r="B3" s="7" t="inlineStr">
        <is>
          <t>Ссылка на МР</t>
        </is>
      </c>
      <c r="C3" s="7" t="inlineStr">
        <is>
          <t>Группа («Действие») приложения № 3</t>
        </is>
      </c>
      <c r="D3" s="7" t="inlineStr">
        <is>
          <t>Компетенция (действие / навык)</t>
        </is>
      </c>
    </row>
    <row r="4" ht="26" customHeight="1">
      <c r="A4" s="8" t="n">
        <v>1</v>
      </c>
      <c r="B4" s="8" t="inlineStr">
        <is>
          <t>1.1</t>
        </is>
      </c>
      <c r="C4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4" s="10" t="inlineStr">
        <is>
          <t>Проведение оценки на соответствие предприятия обязательным критериям</t>
        </is>
      </c>
    </row>
    <row r="5" ht="26" customHeight="1">
      <c r="A5" s="8" t="n">
        <v>2</v>
      </c>
      <c r="B5" s="8" t="inlineStr">
        <is>
          <t>1.2</t>
        </is>
      </c>
      <c r="C5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5" s="10" t="inlineStr">
        <is>
          <t>Проведение оценки готовности руководства предприятия к участию в проекте (интервью)</t>
        </is>
      </c>
    </row>
    <row r="6" ht="26" customHeight="1">
      <c r="A6" s="8" t="n">
        <v>3</v>
      </c>
      <c r="B6" s="8" t="inlineStr">
        <is>
          <t>1.3</t>
        </is>
      </c>
      <c r="C6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6" s="10" t="inlineStr">
        <is>
          <t>Проведение визуальной оценки производственного процесса на предприятии (визит на площадку)</t>
        </is>
      </c>
    </row>
    <row r="7" ht="26" customHeight="1">
      <c r="A7" s="8" t="n">
        <v>4</v>
      </c>
      <c r="B7" s="8" t="inlineStr">
        <is>
          <t>1.4</t>
        </is>
      </c>
      <c r="C7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7" s="10" t="inlineStr">
        <is>
          <t>Вовлечение руководства предприятий в федеральный проект</t>
        </is>
      </c>
    </row>
    <row r="8" ht="26" customHeight="1">
      <c r="A8" s="8" t="n">
        <v>5</v>
      </c>
      <c r="B8" s="8" t="inlineStr">
        <is>
          <t>1.5</t>
        </is>
      </c>
      <c r="C8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8" s="10" t="inlineStr">
        <is>
          <t>Подписание соглашения о сотрудничестве между РЦК и предприятием</t>
        </is>
      </c>
    </row>
    <row r="9" ht="26" customHeight="1">
      <c r="A9" s="8" t="n">
        <v>6</v>
      </c>
      <c r="B9" s="8" t="inlineStr">
        <is>
          <t>2.1</t>
        </is>
      </c>
      <c r="C9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9" s="10" t="inlineStr">
        <is>
          <t>Реализация организационных вех программы</t>
        </is>
      </c>
    </row>
    <row r="10" ht="26" customHeight="1">
      <c r="A10" s="8" t="n">
        <v>7</v>
      </c>
      <c r="B10" s="8" t="inlineStr">
        <is>
          <t>2.1</t>
        </is>
      </c>
      <c r="C10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0" s="10" t="inlineStr">
        <is>
          <t>Формирование проектного офиса</t>
        </is>
      </c>
    </row>
    <row r="11" ht="26" customHeight="1">
      <c r="A11" s="8" t="n">
        <v>8</v>
      </c>
      <c r="B11" s="8" t="inlineStr">
        <is>
          <t>2.2</t>
        </is>
      </c>
      <c r="C11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1" s="10" t="inlineStr">
        <is>
          <t>Определение перечня вовлеченных лиц и рамок проекта; создание рабочей группы для работы с пилотным потоком</t>
        </is>
      </c>
    </row>
    <row r="12" ht="26" customHeight="1">
      <c r="A12" s="8" t="n">
        <v>9</v>
      </c>
      <c r="B12" s="8" t="inlineStr">
        <is>
          <t>2.2</t>
        </is>
      </c>
      <c r="C12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2" s="10" t="inlineStr">
        <is>
          <t>Выявление степени готовности предприятия к изменениям</t>
        </is>
      </c>
    </row>
    <row r="13" ht="26" customHeight="1">
      <c r="A13" s="8" t="n">
        <v>10</v>
      </c>
      <c r="B13" s="8" t="inlineStr">
        <is>
          <t>2.2</t>
        </is>
      </c>
      <c r="C13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3" s="10" t="inlineStr">
        <is>
          <t>Составление плана ключевых событий</t>
        </is>
      </c>
    </row>
    <row r="14" ht="26" customHeight="1">
      <c r="A14" s="8" t="n">
        <v>11</v>
      </c>
      <c r="B14" s="8" t="inlineStr">
        <is>
          <t>2.2</t>
        </is>
      </c>
      <c r="C14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4" s="10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</row>
    <row r="15" ht="26" customHeight="1">
      <c r="A15" s="8" t="n">
        <v>12</v>
      </c>
      <c r="B15" s="8" t="inlineStr">
        <is>
          <t>2.2</t>
        </is>
      </c>
      <c r="C15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5" s="10" t="inlineStr">
        <is>
          <t>Проведение анализа показателей проектов повышения производительности труда</t>
        </is>
      </c>
    </row>
    <row r="16" ht="26" customHeight="1">
      <c r="A16" s="8" t="n">
        <v>13</v>
      </c>
      <c r="B16" s="8" t="inlineStr">
        <is>
          <t>2.2</t>
        </is>
      </c>
      <c r="C16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6" s="10" t="inlineStr">
        <is>
          <t>Создание карточки проекта</t>
        </is>
      </c>
    </row>
    <row r="17" ht="26" customHeight="1">
      <c r="A17" s="8" t="n">
        <v>14</v>
      </c>
      <c r="B17" s="8" t="inlineStr">
        <is>
          <t>2.2</t>
        </is>
      </c>
      <c r="C17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7" s="10" t="inlineStr">
        <is>
          <t>Создание информационного центра проекта</t>
        </is>
      </c>
    </row>
    <row r="18" ht="26" customHeight="1">
      <c r="A18" s="8" t="n">
        <v>15</v>
      </c>
      <c r="B18" s="8" t="inlineStr">
        <is>
          <t>2.2</t>
        </is>
      </c>
      <c r="C18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8" s="10" t="inlineStr">
        <is>
          <t>Создание эталонного участка</t>
        </is>
      </c>
    </row>
    <row r="19" ht="26" customHeight="1">
      <c r="A19" s="8" t="n">
        <v>16</v>
      </c>
      <c r="B19" s="8" t="inlineStr">
        <is>
          <t>2.2</t>
        </is>
      </c>
      <c r="C19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9" s="10" t="inlineStr">
        <is>
          <t>Проведение оценки уровня развития производственной системы предприятия</t>
        </is>
      </c>
    </row>
    <row r="20" ht="26" customHeight="1">
      <c r="A20" s="8" t="n">
        <v>17</v>
      </c>
      <c r="B20" s="8" t="inlineStr">
        <is>
          <t>2.3</t>
        </is>
      </c>
      <c r="C20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0" s="10" t="inlineStr">
        <is>
          <t>Внедрение информационных центров</t>
        </is>
      </c>
    </row>
    <row r="21" ht="26" customHeight="1">
      <c r="A21" s="8" t="n">
        <v>18</v>
      </c>
      <c r="B21" s="8" t="inlineStr">
        <is>
          <t>2.4</t>
        </is>
      </c>
      <c r="C21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1" s="10" t="inlineStr">
        <is>
          <t>Подготовка к проведению тренингов</t>
        </is>
      </c>
    </row>
    <row r="22" ht="26" customHeight="1">
      <c r="A22" s="8" t="n">
        <v>19</v>
      </c>
      <c r="B22" s="8" t="inlineStr">
        <is>
          <t>2.4</t>
        </is>
      </c>
      <c r="C22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2" s="10" t="inlineStr">
        <is>
          <t>Проведение тренингов по Бережливому производству</t>
        </is>
      </c>
    </row>
    <row r="23" ht="26" customHeight="1">
      <c r="A23" s="8" t="n">
        <v>20</v>
      </c>
      <c r="B23" s="8" t="inlineStr">
        <is>
          <t>2.4</t>
        </is>
      </c>
      <c r="C23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3" s="10" t="inlineStr">
        <is>
          <t>Мониторинг проводимого обучения</t>
        </is>
      </c>
    </row>
    <row r="24" ht="26" customHeight="1">
      <c r="A24" s="8" t="n">
        <v>21</v>
      </c>
      <c r="B24" s="8" t="inlineStr">
        <is>
          <t>3.1</t>
        </is>
      </c>
      <c r="C24" s="12" t="inlineStr">
        <is>
          <t>Применение методик и инструментов Бережливого производства</t>
        </is>
      </c>
      <c r="D24" s="10" t="inlineStr">
        <is>
          <t>Картирование потоков и «Диаграмма спагетти»</t>
        </is>
      </c>
    </row>
    <row r="25" ht="26" customHeight="1">
      <c r="A25" s="8" t="n">
        <v>22</v>
      </c>
      <c r="B25" s="8" t="inlineStr">
        <is>
          <t>3.1</t>
        </is>
      </c>
      <c r="C25" s="12" t="inlineStr">
        <is>
          <t>Применение методик и инструментов Бережливого производства</t>
        </is>
      </c>
      <c r="D25" s="10" t="inlineStr">
        <is>
          <t>Производственный анализ</t>
        </is>
      </c>
    </row>
    <row r="26" ht="26" customHeight="1">
      <c r="A26" s="8" t="n">
        <v>23</v>
      </c>
      <c r="B26" s="8" t="inlineStr">
        <is>
          <t>3.1</t>
        </is>
      </c>
      <c r="C26" s="12" t="inlineStr">
        <is>
          <t>Применение методик и инструментов Бережливого производства</t>
        </is>
      </c>
      <c r="D26" s="10" t="inlineStr">
        <is>
          <t>Поток единичных изделий</t>
        </is>
      </c>
    </row>
    <row r="27" ht="26" customHeight="1">
      <c r="A27" s="8" t="n">
        <v>24</v>
      </c>
      <c r="B27" s="8" t="inlineStr">
        <is>
          <t>3.1</t>
        </is>
      </c>
      <c r="C27" s="12" t="inlineStr">
        <is>
          <t>Применение методик и инструментов Бережливого производства</t>
        </is>
      </c>
      <c r="D27" s="10" t="inlineStr">
        <is>
          <t>Система «Канбан»</t>
        </is>
      </c>
    </row>
    <row r="28" ht="26" customHeight="1">
      <c r="A28" s="8" t="n">
        <v>25</v>
      </c>
      <c r="B28" s="8" t="inlineStr">
        <is>
          <t>3.1</t>
        </is>
      </c>
      <c r="C28" s="12" t="inlineStr">
        <is>
          <t>Применение методик и инструментов Бережливого производства</t>
        </is>
      </c>
      <c r="D28" s="10" t="inlineStr">
        <is>
          <t>Стандартизированная работа</t>
        </is>
      </c>
    </row>
    <row r="29" ht="26" customHeight="1">
      <c r="A29" s="8" t="n">
        <v>26</v>
      </c>
      <c r="B29" s="8" t="inlineStr">
        <is>
          <t>3.1</t>
        </is>
      </c>
      <c r="C29" s="12" t="inlineStr">
        <is>
          <t>Применение методик и инструментов Бережливого производства</t>
        </is>
      </c>
      <c r="D29" s="10" t="inlineStr">
        <is>
          <t>Методы поиска первопричин и решения проблем</t>
        </is>
      </c>
    </row>
    <row r="30" ht="26" customHeight="1">
      <c r="A30" s="8" t="n">
        <v>27</v>
      </c>
      <c r="B30" s="8" t="inlineStr">
        <is>
          <t>3.1</t>
        </is>
      </c>
      <c r="C30" s="12" t="inlineStr">
        <is>
          <t>Применение методик и инструментов Бережливого производства</t>
        </is>
      </c>
      <c r="D30" s="10" t="inlineStr">
        <is>
          <t>Быстрая переналадка (SMED)</t>
        </is>
      </c>
    </row>
    <row r="31" ht="26" customHeight="1">
      <c r="A31" s="8" t="n">
        <v>28</v>
      </c>
      <c r="B31" s="8" t="inlineStr">
        <is>
          <t>3.1</t>
        </is>
      </c>
      <c r="C31" s="12" t="inlineStr">
        <is>
          <t>Применение методик и инструментов Бережливого производства</t>
        </is>
      </c>
      <c r="D31" s="10" t="inlineStr">
        <is>
          <t>«Poka-Yoke» (защита от ошибок)</t>
        </is>
      </c>
    </row>
    <row r="32" ht="26" customHeight="1">
      <c r="A32" s="8" t="n">
        <v>29</v>
      </c>
      <c r="B32" s="8" t="inlineStr">
        <is>
          <t>3.1</t>
        </is>
      </c>
      <c r="C32" s="12" t="inlineStr">
        <is>
          <t>Применение методик и инструментов Бережливого производства</t>
        </is>
      </c>
      <c r="D32" s="10" t="inlineStr">
        <is>
          <t>5С на производстве и в офисе</t>
        </is>
      </c>
    </row>
    <row r="33" ht="26" customHeight="1">
      <c r="A33" s="8" t="n">
        <v>30</v>
      </c>
      <c r="B33" s="8" t="inlineStr">
        <is>
          <t>3.1</t>
        </is>
      </c>
      <c r="C33" s="12" t="inlineStr">
        <is>
          <t>Применение методик и инструментов Бережливого производства</t>
        </is>
      </c>
      <c r="D33" s="10" t="inlineStr">
        <is>
          <t>ОЕЕ — анализ эффективности оборудования</t>
        </is>
      </c>
    </row>
    <row r="34" ht="26" customHeight="1">
      <c r="A34" s="8" t="n">
        <v>31</v>
      </c>
      <c r="B34" s="8" t="inlineStr">
        <is>
          <t>3.1</t>
        </is>
      </c>
      <c r="C34" s="12" t="inlineStr">
        <is>
          <t>Применение методик и инструментов Бережливого производства</t>
        </is>
      </c>
      <c r="D34" s="10" t="inlineStr">
        <is>
          <t>Автономное обслуживание оборудования</t>
        </is>
      </c>
    </row>
    <row r="35" ht="26" customHeight="1">
      <c r="A35" s="8" t="n">
        <v>32</v>
      </c>
      <c r="B35" s="8" t="inlineStr">
        <is>
          <t>3.1</t>
        </is>
      </c>
      <c r="C35" s="12" t="inlineStr">
        <is>
          <t>Применение методик и инструментов Бережливого производства</t>
        </is>
      </c>
      <c r="D35" s="10" t="inlineStr">
        <is>
          <t>Управление запасами</t>
        </is>
      </c>
    </row>
    <row r="36" ht="26" customHeight="1">
      <c r="A36" s="8" t="n">
        <v>33</v>
      </c>
      <c r="B36" s="8" t="inlineStr">
        <is>
          <t>4.1</t>
        </is>
      </c>
      <c r="C36" s="13" t="inlineStr">
        <is>
          <t>Поддержка рабочих групп / проектных офисов на предприятиях-участниках</t>
        </is>
      </c>
      <c r="D36" s="10" t="inlineStr">
        <is>
          <t>Сбор и проверка данных от предприятий-участников, выработка корректирующих мероприятий</t>
        </is>
      </c>
    </row>
    <row r="37" ht="26" customHeight="1">
      <c r="A37" s="8" t="n">
        <v>34</v>
      </c>
      <c r="B37" s="8" t="inlineStr">
        <is>
          <t>4.2</t>
        </is>
      </c>
      <c r="C37" s="13" t="inlineStr">
        <is>
          <t>Поддержка рабочих групп / проектных офисов на предприятиях-участниках</t>
        </is>
      </c>
      <c r="D37" s="10" t="inlineStr">
        <is>
          <t>Мониторинг реализации программы на фазе «Тиражирование и совершенствование» (поддерживающие сессии)</t>
        </is>
      </c>
    </row>
    <row r="38" ht="26" customHeight="1">
      <c r="A38" s="8" t="n">
        <v>35</v>
      </c>
      <c r="B38" s="8" t="inlineStr">
        <is>
          <t>4.3</t>
        </is>
      </c>
      <c r="C38" s="13" t="inlineStr">
        <is>
          <t>Поддержка рабочих групп / проектных офисов на предприятиях-участниках</t>
        </is>
      </c>
      <c r="D38" s="10" t="inlineStr">
        <is>
          <t>Поиск и распространение лучших практик по производительности труда</t>
        </is>
      </c>
    </row>
    <row r="39" ht="26" customHeight="1">
      <c r="A39" s="8" t="n">
        <v>36</v>
      </c>
      <c r="B39" s="8" t="inlineStr">
        <is>
          <t>4.4</t>
        </is>
      </c>
      <c r="C39" s="13" t="inlineStr">
        <is>
          <t>Поддержка рабочих групп / проектных офисов на предприятиях-участниках</t>
        </is>
      </c>
      <c r="D39" s="10" t="inlineStr">
        <is>
          <t>Организация работы с предложениями по улучшению (ППУ)</t>
        </is>
      </c>
    </row>
    <row r="40" ht="26" customHeight="1">
      <c r="A40" s="8" t="n">
        <v>37</v>
      </c>
      <c r="B40" s="8" t="inlineStr">
        <is>
          <t>4.5</t>
        </is>
      </c>
      <c r="C40" s="13" t="inlineStr">
        <is>
          <t>Поддержка рабочих групп / проектных офисов на предприятиях-участниках</t>
        </is>
      </c>
      <c r="D40" s="10" t="inlineStr">
        <is>
          <t>Ведение мониторинга проектов в подсистеме «Совместная работа» на ИТ-платформе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40" customHeight="1">
      <c r="A1" s="14" t="inlineStr">
        <is>
          <t>ДЕМО-ДАННЫЕ (не реальные оценки)! Коллеги 1–5 — остальные руководители проектов: каждый заполняет только СВОЙ столбец в чужом блоке и столбец «Сам (сама)» только в своём блоке. Соответствие «столбец ↔ фамилия» организатор фиксирует отдельно. Лист видит только организатор.</t>
        </is>
      </c>
    </row>
    <row r="2" ht="26" customHeight="1">
      <c r="A2" s="7" t="inlineStr">
        <is>
          <t>№</t>
        </is>
      </c>
      <c r="B2" s="7" t="inlineStr">
        <is>
          <t>Компетенция (приложение № 3 МР)</t>
        </is>
      </c>
      <c r="C2" s="7" t="inlineStr">
        <is>
          <t>Сам (сама)</t>
        </is>
      </c>
      <c r="D2" s="7" t="inlineStr">
        <is>
          <t>Коллега 1</t>
        </is>
      </c>
      <c r="E2" s="7" t="inlineStr">
        <is>
          <t>Коллега 2</t>
        </is>
      </c>
      <c r="F2" s="7" t="inlineStr">
        <is>
          <t>Коллега 3</t>
        </is>
      </c>
      <c r="G2" s="7" t="inlineStr">
        <is>
          <t>Коллега 4</t>
        </is>
      </c>
      <c r="H2" s="7" t="inlineStr">
        <is>
          <t>Коллега 5</t>
        </is>
      </c>
    </row>
    <row r="3" ht="20" customHeight="1">
      <c r="A3" s="15" t="inlineStr">
        <is>
          <t>РП-1 — Кущенко Д. А. (ДЕМО)</t>
        </is>
      </c>
    </row>
    <row r="4">
      <c r="A4" s="8" t="n">
        <v>1</v>
      </c>
      <c r="B4" s="16" t="inlineStr">
        <is>
          <t>Проведение оценки на соответствие предприятия обязательным критериям</t>
        </is>
      </c>
      <c r="C4" s="17" t="n">
        <v>3</v>
      </c>
      <c r="D4" s="17" t="n">
        <v>4</v>
      </c>
      <c r="E4" s="17" t="n">
        <v>4</v>
      </c>
      <c r="F4" s="17" t="n">
        <v>3</v>
      </c>
      <c r="G4" s="17" t="n">
        <v>3</v>
      </c>
      <c r="H4" s="17" t="n">
        <v>4</v>
      </c>
    </row>
    <row r="5">
      <c r="A5" s="8" t="n">
        <v>2</v>
      </c>
      <c r="B5" s="16" t="inlineStr">
        <is>
          <t>Проведение оценки готовности руководства предприятия к участию в проекте (интервью)</t>
        </is>
      </c>
      <c r="C5" s="17" t="n">
        <v>4</v>
      </c>
      <c r="D5" s="17" t="n">
        <v>4</v>
      </c>
      <c r="E5" s="17" t="n">
        <v>3</v>
      </c>
      <c r="F5" s="17" t="n">
        <v>3</v>
      </c>
      <c r="G5" s="17" t="n">
        <v>4</v>
      </c>
      <c r="H5" s="17" t="n">
        <v>4</v>
      </c>
    </row>
    <row r="6">
      <c r="A6" s="8" t="n">
        <v>3</v>
      </c>
      <c r="B6" s="16" t="inlineStr">
        <is>
          <t>Проведение визуальной оценки производственного процесса на предприятии (визит на площадку)</t>
        </is>
      </c>
      <c r="C6" s="17" t="n">
        <v>4</v>
      </c>
      <c r="D6" s="17" t="n">
        <v>4</v>
      </c>
      <c r="E6" s="17" t="n">
        <v>3</v>
      </c>
      <c r="F6" s="17" t="n">
        <v>3</v>
      </c>
      <c r="G6" s="17" t="n">
        <v>5</v>
      </c>
      <c r="H6" s="17" t="n">
        <v>4</v>
      </c>
    </row>
    <row r="7">
      <c r="A7" s="8" t="n">
        <v>4</v>
      </c>
      <c r="B7" s="16" t="inlineStr">
        <is>
          <t>Вовлечение руководства предприятий в федеральный проект</t>
        </is>
      </c>
      <c r="C7" s="17" t="n">
        <v>3</v>
      </c>
      <c r="D7" s="17" t="n">
        <v>3</v>
      </c>
      <c r="E7" s="17" t="n">
        <v>4</v>
      </c>
      <c r="F7" s="17" t="n">
        <v>4</v>
      </c>
      <c r="G7" s="17" t="n">
        <v>3</v>
      </c>
      <c r="H7" s="17" t="n">
        <v>4</v>
      </c>
    </row>
    <row r="8">
      <c r="A8" s="8" t="n">
        <v>5</v>
      </c>
      <c r="B8" s="16" t="inlineStr">
        <is>
          <t>Подписание соглашения о сотрудничестве между РЦК и предприятием</t>
        </is>
      </c>
      <c r="C8" s="17" t="n">
        <v>4</v>
      </c>
      <c r="D8" s="17" t="n">
        <v>4</v>
      </c>
      <c r="E8" s="17" t="n">
        <v>4</v>
      </c>
      <c r="F8" s="17" t="n">
        <v>4</v>
      </c>
      <c r="G8" s="17" t="n">
        <v>3</v>
      </c>
      <c r="H8" s="17" t="n">
        <v>4</v>
      </c>
    </row>
    <row r="9">
      <c r="A9" s="8" t="n">
        <v>6</v>
      </c>
      <c r="B9" s="16" t="inlineStr">
        <is>
          <t>Реализация организационных вех программы</t>
        </is>
      </c>
      <c r="C9" s="17" t="n">
        <v>3</v>
      </c>
      <c r="D9" s="17" t="n">
        <v>3</v>
      </c>
      <c r="E9" s="17" t="n">
        <v>3</v>
      </c>
      <c r="F9" s="17" t="n">
        <v>4</v>
      </c>
      <c r="G9" s="17" t="n">
        <v>3</v>
      </c>
      <c r="H9" s="17" t="n">
        <v>4</v>
      </c>
    </row>
    <row r="10">
      <c r="A10" s="8" t="n">
        <v>7</v>
      </c>
      <c r="B10" s="16" t="inlineStr">
        <is>
          <t>Формирование проектного офиса</t>
        </is>
      </c>
      <c r="C10" s="17" t="n">
        <v>5</v>
      </c>
      <c r="D10" s="17" t="n">
        <v>3</v>
      </c>
      <c r="E10" s="17" t="n">
        <v>4</v>
      </c>
      <c r="F10" s="17" t="n">
        <v>3</v>
      </c>
      <c r="G10" s="17" t="n">
        <v>3</v>
      </c>
      <c r="H10" s="17" t="n">
        <v>4</v>
      </c>
    </row>
    <row r="11">
      <c r="A11" s="8" t="n">
        <v>8</v>
      </c>
      <c r="B11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1" s="17" t="n">
        <v>3</v>
      </c>
      <c r="D11" s="17" t="n">
        <v>4</v>
      </c>
      <c r="E11" s="17" t="n">
        <v>4</v>
      </c>
      <c r="F11" s="17" t="n">
        <v>3</v>
      </c>
      <c r="G11" s="17" t="n">
        <v>4</v>
      </c>
      <c r="H11" s="17" t="n">
        <v>3</v>
      </c>
    </row>
    <row r="12">
      <c r="A12" s="8" t="n">
        <v>9</v>
      </c>
      <c r="B12" s="16" t="inlineStr">
        <is>
          <t>Выявление степени готовности предприятия к изменениям</t>
        </is>
      </c>
      <c r="C12" s="17" t="n">
        <v>4</v>
      </c>
      <c r="D12" s="17" t="n">
        <v>3</v>
      </c>
      <c r="E12" s="17" t="n">
        <v>4</v>
      </c>
      <c r="F12" s="17" t="n">
        <v>4</v>
      </c>
      <c r="G12" s="17" t="n">
        <v>4</v>
      </c>
      <c r="H12" s="17" t="n">
        <v>4</v>
      </c>
    </row>
    <row r="13">
      <c r="A13" s="8" t="n">
        <v>10</v>
      </c>
      <c r="B13" s="16" t="inlineStr">
        <is>
          <t>Составление плана ключевых событий</t>
        </is>
      </c>
      <c r="C13" s="17" t="n">
        <v>4</v>
      </c>
      <c r="D13" s="17" t="n">
        <v>3</v>
      </c>
      <c r="E13" s="17" t="n">
        <v>4</v>
      </c>
      <c r="F13" s="17" t="n">
        <v>4</v>
      </c>
      <c r="G13" s="17" t="n">
        <v>4</v>
      </c>
      <c r="H13" s="17" t="n">
        <v>3</v>
      </c>
    </row>
    <row r="14">
      <c r="A14" s="8" t="n">
        <v>11</v>
      </c>
      <c r="B14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4" s="17" t="n">
        <v>4</v>
      </c>
      <c r="D14" s="17" t="n">
        <v>4</v>
      </c>
      <c r="E14" s="17" t="n">
        <v>4</v>
      </c>
      <c r="F14" s="17" t="n">
        <v>3</v>
      </c>
      <c r="G14" s="17" t="n">
        <v>4</v>
      </c>
      <c r="H14" s="17" t="n">
        <v>4</v>
      </c>
    </row>
    <row r="15">
      <c r="A15" s="8" t="n">
        <v>12</v>
      </c>
      <c r="B15" s="16" t="inlineStr">
        <is>
          <t>Проведение анализа показателей проектов повышения производительности труда</t>
        </is>
      </c>
      <c r="C15" s="17" t="n">
        <v>4</v>
      </c>
      <c r="D15" s="17" t="n">
        <v>4</v>
      </c>
      <c r="E15" s="17" t="n">
        <v>4</v>
      </c>
      <c r="F15" s="17" t="n">
        <v>3</v>
      </c>
      <c r="G15" s="17" t="n">
        <v>3</v>
      </c>
      <c r="H15" s="17" t="n">
        <v>4</v>
      </c>
    </row>
    <row r="16">
      <c r="A16" s="8" t="n">
        <v>13</v>
      </c>
      <c r="B16" s="16" t="inlineStr">
        <is>
          <t>Создание карточки проекта</t>
        </is>
      </c>
      <c r="C16" s="17" t="n">
        <v>4</v>
      </c>
      <c r="D16" s="17" t="n">
        <v>4</v>
      </c>
      <c r="E16" s="17" t="n">
        <v>4</v>
      </c>
      <c r="F16" s="17" t="n">
        <v>4</v>
      </c>
      <c r="G16" s="17" t="n">
        <v>4</v>
      </c>
      <c r="H16" s="17" t="n">
        <v>4</v>
      </c>
    </row>
    <row r="17">
      <c r="A17" s="8" t="n">
        <v>14</v>
      </c>
      <c r="B17" s="16" t="inlineStr">
        <is>
          <t>Создание информационного центра проекта</t>
        </is>
      </c>
      <c r="C17" s="17" t="n">
        <v>4</v>
      </c>
      <c r="D17" s="17" t="n">
        <v>4</v>
      </c>
      <c r="E17" s="17" t="n">
        <v>4</v>
      </c>
      <c r="F17" s="17" t="n">
        <v>3</v>
      </c>
      <c r="G17" s="17" t="n">
        <v>3</v>
      </c>
      <c r="H17" s="17" t="n">
        <v>5</v>
      </c>
    </row>
    <row r="18">
      <c r="A18" s="8" t="n">
        <v>15</v>
      </c>
      <c r="B18" s="16" t="inlineStr">
        <is>
          <t>Создание эталонного участка</t>
        </is>
      </c>
      <c r="C18" s="17" t="n">
        <v>4</v>
      </c>
      <c r="D18" s="17" t="n">
        <v>4</v>
      </c>
      <c r="E18" s="17" t="n">
        <v>4</v>
      </c>
      <c r="F18" s="17" t="n">
        <v>3</v>
      </c>
      <c r="G18" s="17" t="n">
        <v>5</v>
      </c>
      <c r="H18" s="17" t="n">
        <v>5</v>
      </c>
    </row>
    <row r="19">
      <c r="A19" s="8" t="n">
        <v>16</v>
      </c>
      <c r="B19" s="16" t="inlineStr">
        <is>
          <t>Проведение оценки уровня развития производственной системы предприятия</t>
        </is>
      </c>
      <c r="C19" s="17" t="n">
        <v>4</v>
      </c>
      <c r="D19" s="17" t="n">
        <v>4</v>
      </c>
      <c r="E19" s="17" t="n">
        <v>4</v>
      </c>
      <c r="F19" s="17" t="n">
        <v>3</v>
      </c>
      <c r="G19" s="17" t="n">
        <v>3</v>
      </c>
      <c r="H19" s="17" t="n">
        <v>4</v>
      </c>
    </row>
    <row r="20">
      <c r="A20" s="8" t="n">
        <v>17</v>
      </c>
      <c r="B20" s="16" t="inlineStr">
        <is>
          <t>Внедрение информационных центров</t>
        </is>
      </c>
      <c r="C20" s="17" t="n">
        <v>4</v>
      </c>
      <c r="D20" s="17" t="n">
        <v>4</v>
      </c>
      <c r="E20" s="17" t="n">
        <v>4</v>
      </c>
      <c r="F20" s="17" t="n">
        <v>4</v>
      </c>
      <c r="G20" s="17" t="n">
        <v>3</v>
      </c>
      <c r="H20" s="17" t="n">
        <v>4</v>
      </c>
    </row>
    <row r="21">
      <c r="A21" s="8" t="n">
        <v>18</v>
      </c>
      <c r="B21" s="16" t="inlineStr">
        <is>
          <t>Подготовка к проведению тренингов</t>
        </is>
      </c>
      <c r="C21" s="17" t="n">
        <v>4</v>
      </c>
      <c r="D21" s="17" t="n">
        <v>3</v>
      </c>
      <c r="E21" s="17" t="n">
        <v>3</v>
      </c>
      <c r="F21" s="17" t="n">
        <v>3</v>
      </c>
      <c r="G21" s="17" t="n">
        <v>4</v>
      </c>
      <c r="H21" s="17" t="n">
        <v>4</v>
      </c>
    </row>
    <row r="22">
      <c r="A22" s="8" t="n">
        <v>19</v>
      </c>
      <c r="B22" s="16" t="inlineStr">
        <is>
          <t>Проведение тренингов по Бережливому производству</t>
        </is>
      </c>
      <c r="C22" s="17" t="n">
        <v>4</v>
      </c>
      <c r="D22" s="17" t="n">
        <v>3</v>
      </c>
      <c r="E22" s="17" t="n">
        <v>4</v>
      </c>
      <c r="F22" s="17" t="n">
        <v>4</v>
      </c>
      <c r="G22" s="17" t="n">
        <v>3</v>
      </c>
      <c r="H22" s="17" t="n">
        <v>3</v>
      </c>
    </row>
    <row r="23">
      <c r="A23" s="8" t="n">
        <v>20</v>
      </c>
      <c r="B23" s="16" t="inlineStr">
        <is>
          <t>Мониторинг проводимого обучения</t>
        </is>
      </c>
      <c r="C23" s="17" t="n">
        <v>4</v>
      </c>
      <c r="D23" s="17" t="n">
        <v>5</v>
      </c>
      <c r="E23" s="17" t="n">
        <v>4</v>
      </c>
      <c r="F23" s="17" t="n">
        <v>3</v>
      </c>
      <c r="G23" s="17" t="n">
        <v>3</v>
      </c>
      <c r="H23" s="17" t="n">
        <v>4</v>
      </c>
    </row>
    <row r="24">
      <c r="A24" s="8" t="n">
        <v>21</v>
      </c>
      <c r="B24" s="16" t="inlineStr">
        <is>
          <t>Картирование потоков и «Диаграмма спагетти»</t>
        </is>
      </c>
      <c r="C24" s="17" t="n">
        <v>5</v>
      </c>
      <c r="D24" s="17" t="n">
        <v>4</v>
      </c>
      <c r="E24" s="17" t="n">
        <v>4</v>
      </c>
      <c r="F24" s="17" t="n">
        <v>4</v>
      </c>
      <c r="G24" s="17" t="n">
        <v>3</v>
      </c>
      <c r="H24" s="17" t="n">
        <v>5</v>
      </c>
    </row>
    <row r="25">
      <c r="A25" s="8" t="n">
        <v>22</v>
      </c>
      <c r="B25" s="16" t="inlineStr">
        <is>
          <t>Производственный анализ</t>
        </is>
      </c>
      <c r="C25" s="17" t="n">
        <v>3</v>
      </c>
      <c r="D25" s="17" t="n">
        <v>3</v>
      </c>
      <c r="E25" s="17" t="n">
        <v>4</v>
      </c>
      <c r="F25" s="17" t="n">
        <v>4</v>
      </c>
      <c r="G25" s="17" t="n">
        <v>4</v>
      </c>
      <c r="H25" s="17" t="n">
        <v>4</v>
      </c>
    </row>
    <row r="26">
      <c r="A26" s="8" t="n">
        <v>23</v>
      </c>
      <c r="B26" s="16" t="inlineStr">
        <is>
          <t>Поток единичных изделий</t>
        </is>
      </c>
      <c r="C26" s="17" t="n">
        <v>3</v>
      </c>
      <c r="D26" s="17" t="n">
        <v>3</v>
      </c>
      <c r="E26" s="17" t="n">
        <v>3</v>
      </c>
      <c r="F26" s="17" t="n">
        <v>3</v>
      </c>
      <c r="G26" s="17" t="n">
        <v>4</v>
      </c>
      <c r="H26" s="17" t="n">
        <v>4</v>
      </c>
    </row>
    <row r="27">
      <c r="A27" s="8" t="n">
        <v>24</v>
      </c>
      <c r="B27" s="16" t="inlineStr">
        <is>
          <t>Система «Канбан»</t>
        </is>
      </c>
      <c r="C27" s="17" t="n">
        <v>4</v>
      </c>
      <c r="D27" s="17" t="n">
        <v>4</v>
      </c>
      <c r="E27" s="17" t="n">
        <v>3</v>
      </c>
      <c r="F27" s="17" t="n">
        <v>4</v>
      </c>
      <c r="G27" s="17" t="n">
        <v>4</v>
      </c>
      <c r="H27" s="17" t="n">
        <v>4</v>
      </c>
    </row>
    <row r="28">
      <c r="A28" s="8" t="n">
        <v>25</v>
      </c>
      <c r="B28" s="16" t="inlineStr">
        <is>
          <t>Стандартизированная работа</t>
        </is>
      </c>
      <c r="C28" s="17" t="n">
        <v>3</v>
      </c>
      <c r="D28" s="17" t="n">
        <v>3</v>
      </c>
      <c r="E28" s="17" t="n">
        <v>3</v>
      </c>
      <c r="F28" s="17" t="n">
        <v>4</v>
      </c>
      <c r="G28" s="17" t="n">
        <v>4</v>
      </c>
      <c r="H28" s="17" t="n">
        <v>4</v>
      </c>
    </row>
    <row r="29">
      <c r="A29" s="8" t="n">
        <v>26</v>
      </c>
      <c r="B29" s="16" t="inlineStr">
        <is>
          <t>Методы поиска первопричин и решения проблем</t>
        </is>
      </c>
      <c r="C29" s="17" t="n">
        <v>3</v>
      </c>
      <c r="D29" s="17" t="n">
        <v>3</v>
      </c>
      <c r="E29" s="17" t="n">
        <v>4</v>
      </c>
      <c r="F29" s="17" t="n">
        <v>4</v>
      </c>
      <c r="G29" s="17" t="n">
        <v>5</v>
      </c>
      <c r="H29" s="17" t="n">
        <v>4</v>
      </c>
    </row>
    <row r="30">
      <c r="A30" s="8" t="n">
        <v>27</v>
      </c>
      <c r="B30" s="16" t="inlineStr">
        <is>
          <t>Быстрая переналадка (SMED)</t>
        </is>
      </c>
      <c r="C30" s="17" t="n">
        <v>3</v>
      </c>
      <c r="D30" s="17" t="n">
        <v>2</v>
      </c>
      <c r="E30" s="17" t="n">
        <v>4</v>
      </c>
      <c r="F30" s="17" t="n">
        <v>4</v>
      </c>
      <c r="G30" s="17" t="n">
        <v>3</v>
      </c>
      <c r="H30" s="17" t="n">
        <v>4</v>
      </c>
    </row>
    <row r="31">
      <c r="A31" s="8" t="n">
        <v>28</v>
      </c>
      <c r="B31" s="16" t="inlineStr">
        <is>
          <t>«Poka-Yoke» (защита от ошибок)</t>
        </is>
      </c>
      <c r="C31" s="17" t="n">
        <v>3</v>
      </c>
      <c r="D31" s="17" t="n">
        <v>5</v>
      </c>
      <c r="E31" s="17" t="n">
        <v>4</v>
      </c>
      <c r="F31" s="17" t="n">
        <v>4</v>
      </c>
      <c r="G31" s="17" t="n">
        <v>3</v>
      </c>
      <c r="H31" s="17" t="n">
        <v>3</v>
      </c>
    </row>
    <row r="32">
      <c r="A32" s="8" t="n">
        <v>29</v>
      </c>
      <c r="B32" s="16" t="inlineStr">
        <is>
          <t>5С на производстве и в офисе</t>
        </is>
      </c>
      <c r="C32" s="17" t="n">
        <v>3</v>
      </c>
      <c r="D32" s="17" t="n">
        <v>3</v>
      </c>
      <c r="E32" s="17" t="n">
        <v>4</v>
      </c>
      <c r="F32" s="17" t="n">
        <v>2</v>
      </c>
      <c r="G32" s="17" t="n">
        <v>3</v>
      </c>
      <c r="H32" s="17" t="n">
        <v>4</v>
      </c>
    </row>
    <row r="33">
      <c r="A33" s="8" t="n">
        <v>30</v>
      </c>
      <c r="B33" s="16" t="inlineStr">
        <is>
          <t>ОЕЕ — анализ эффективности оборудования</t>
        </is>
      </c>
      <c r="C33" s="17" t="n">
        <v>4</v>
      </c>
      <c r="D33" s="17" t="n">
        <v>3</v>
      </c>
      <c r="E33" s="17" t="n">
        <v>3</v>
      </c>
      <c r="F33" s="17" t="n">
        <v>4</v>
      </c>
      <c r="G33" s="17" t="n">
        <v>4</v>
      </c>
      <c r="H33" s="17" t="n">
        <v>3</v>
      </c>
    </row>
    <row r="34">
      <c r="A34" s="8" t="n">
        <v>31</v>
      </c>
      <c r="B34" s="16" t="inlineStr">
        <is>
          <t>Автономное обслуживание оборудования</t>
        </is>
      </c>
      <c r="C34" s="17" t="n">
        <v>3</v>
      </c>
      <c r="D34" s="17" t="n">
        <v>3</v>
      </c>
      <c r="E34" s="17" t="n">
        <v>3</v>
      </c>
      <c r="F34" s="17" t="n">
        <v>3</v>
      </c>
      <c r="G34" s="17" t="n">
        <v>4</v>
      </c>
      <c r="H34" s="17" t="n">
        <v>4</v>
      </c>
    </row>
    <row r="35">
      <c r="A35" s="8" t="n">
        <v>32</v>
      </c>
      <c r="B35" s="16" t="inlineStr">
        <is>
          <t>Управление запасами</t>
        </is>
      </c>
      <c r="C35" s="17" t="n">
        <v>5</v>
      </c>
      <c r="D35" s="17" t="n">
        <v>3</v>
      </c>
      <c r="E35" s="17" t="n">
        <v>3</v>
      </c>
      <c r="F35" s="17" t="n">
        <v>3</v>
      </c>
      <c r="G35" s="17" t="n">
        <v>3</v>
      </c>
      <c r="H35" s="17" t="n">
        <v>3</v>
      </c>
    </row>
    <row r="36">
      <c r="A36" s="8" t="n">
        <v>33</v>
      </c>
      <c r="B36" s="16" t="inlineStr">
        <is>
          <t>Сбор и проверка данных от предприятий-участников, выработка корректирующих мероприятий</t>
        </is>
      </c>
      <c r="C36" s="17" t="n">
        <v>3</v>
      </c>
      <c r="D36" s="17" t="n">
        <v>4</v>
      </c>
      <c r="E36" s="17" t="n">
        <v>4</v>
      </c>
      <c r="F36" s="17" t="n">
        <v>4</v>
      </c>
      <c r="G36" s="17" t="n">
        <v>4</v>
      </c>
      <c r="H36" s="17" t="n">
        <v>4</v>
      </c>
    </row>
    <row r="37">
      <c r="A37" s="8" t="n">
        <v>34</v>
      </c>
      <c r="B37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37" s="17" t="n">
        <v>3</v>
      </c>
      <c r="D37" s="17" t="n">
        <v>4</v>
      </c>
      <c r="E37" s="17" t="n">
        <v>3</v>
      </c>
      <c r="F37" s="17" t="n">
        <v>3</v>
      </c>
      <c r="G37" s="17" t="n">
        <v>3</v>
      </c>
      <c r="H37" s="17" t="n">
        <v>3</v>
      </c>
    </row>
    <row r="38">
      <c r="A38" s="8" t="n">
        <v>35</v>
      </c>
      <c r="B38" s="16" t="inlineStr">
        <is>
          <t>Поиск и распространение лучших практик по производительности труда</t>
        </is>
      </c>
      <c r="C38" s="17" t="n">
        <v>3</v>
      </c>
      <c r="D38" s="17" t="n">
        <v>4</v>
      </c>
      <c r="E38" s="17" t="n">
        <v>3</v>
      </c>
      <c r="F38" s="17" t="n">
        <v>4</v>
      </c>
      <c r="G38" s="17" t="n">
        <v>4</v>
      </c>
      <c r="H38" s="17" t="n">
        <v>4</v>
      </c>
    </row>
    <row r="39">
      <c r="A39" s="8" t="n">
        <v>36</v>
      </c>
      <c r="B39" s="16" t="inlineStr">
        <is>
          <t>Организация работы с предложениями по улучшению (ППУ)</t>
        </is>
      </c>
      <c r="C39" s="17" t="n">
        <v>4</v>
      </c>
      <c r="D39" s="17" t="n">
        <v>3</v>
      </c>
      <c r="E39" s="17" t="n">
        <v>3</v>
      </c>
      <c r="F39" s="17" t="n">
        <v>4</v>
      </c>
      <c r="G39" s="17" t="n">
        <v>3</v>
      </c>
      <c r="H39" s="17" t="n">
        <v>4</v>
      </c>
    </row>
    <row r="40">
      <c r="A40" s="8" t="n">
        <v>37</v>
      </c>
      <c r="B40" s="16" t="inlineStr">
        <is>
          <t>Ведение мониторинга проектов в подсистеме «Совместная работа» на ИТ-платформе</t>
        </is>
      </c>
      <c r="C40" s="17" t="n">
        <v>4</v>
      </c>
      <c r="D40" s="17" t="n">
        <v>4</v>
      </c>
      <c r="E40" s="17" t="n">
        <v>4</v>
      </c>
      <c r="F40" s="17" t="n">
        <v>2</v>
      </c>
      <c r="G40" s="17" t="n">
        <v>4</v>
      </c>
      <c r="H40" s="17" t="n">
        <v>4</v>
      </c>
    </row>
    <row r="42" ht="20" customHeight="1">
      <c r="A42" s="18" t="inlineStr">
        <is>
          <t>РП-2 — Горбунова А. М. (ДЕМО)</t>
        </is>
      </c>
    </row>
    <row r="43">
      <c r="A43" s="8" t="n">
        <v>1</v>
      </c>
      <c r="B43" s="16" t="inlineStr">
        <is>
          <t>Проведение оценки на соответствие предприятия обязательным критериям</t>
        </is>
      </c>
      <c r="C43" s="17" t="n">
        <v>4</v>
      </c>
      <c r="D43" s="17" t="n">
        <v>4</v>
      </c>
      <c r="E43" s="17" t="n">
        <v>5</v>
      </c>
      <c r="F43" s="17" t="n">
        <v>4</v>
      </c>
      <c r="G43" s="17" t="n">
        <v>4</v>
      </c>
      <c r="H43" s="17" t="n">
        <v>4</v>
      </c>
    </row>
    <row r="44">
      <c r="A44" s="8" t="n">
        <v>2</v>
      </c>
      <c r="B44" s="16" t="inlineStr">
        <is>
          <t>Проведение оценки готовности руководства предприятия к участию в проекте (интервью)</t>
        </is>
      </c>
      <c r="C44" s="17" t="n">
        <v>3</v>
      </c>
      <c r="D44" s="17" t="n">
        <v>3</v>
      </c>
      <c r="E44" s="17" t="n">
        <v>4</v>
      </c>
      <c r="F44" s="17" t="n">
        <v>4</v>
      </c>
      <c r="G44" s="17" t="n">
        <v>4</v>
      </c>
      <c r="H44" s="17" t="n">
        <v>4</v>
      </c>
    </row>
    <row r="45">
      <c r="A45" s="8" t="n">
        <v>3</v>
      </c>
      <c r="B45" s="16" t="inlineStr">
        <is>
          <t>Проведение визуальной оценки производственного процесса на предприятии (визит на площадку)</t>
        </is>
      </c>
      <c r="C45" s="17" t="n">
        <v>3</v>
      </c>
      <c r="D45" s="17" t="n">
        <v>3</v>
      </c>
      <c r="E45" s="17" t="n">
        <v>3</v>
      </c>
      <c r="F45" s="17" t="n">
        <v>3</v>
      </c>
      <c r="G45" s="17" t="n">
        <v>4</v>
      </c>
      <c r="H45" s="17" t="n">
        <v>4</v>
      </c>
    </row>
    <row r="46">
      <c r="A46" s="8" t="n">
        <v>4</v>
      </c>
      <c r="B46" s="16" t="inlineStr">
        <is>
          <t>Вовлечение руководства предприятий в федеральный проект</t>
        </is>
      </c>
      <c r="C46" s="17" t="n">
        <v>4</v>
      </c>
      <c r="D46" s="17" t="n">
        <v>3</v>
      </c>
      <c r="E46" s="17" t="n">
        <v>4</v>
      </c>
      <c r="F46" s="17" t="n">
        <v>4</v>
      </c>
      <c r="G46" s="17" t="n">
        <v>4</v>
      </c>
      <c r="H46" s="17" t="n">
        <v>3</v>
      </c>
    </row>
    <row r="47">
      <c r="A47" s="8" t="n">
        <v>5</v>
      </c>
      <c r="B47" s="16" t="inlineStr">
        <is>
          <t>Подписание соглашения о сотрудничестве между РЦК и предприятием</t>
        </is>
      </c>
      <c r="C47" s="17" t="n">
        <v>4</v>
      </c>
      <c r="D47" s="17" t="n">
        <v>3</v>
      </c>
      <c r="E47" s="17" t="n">
        <v>4</v>
      </c>
      <c r="F47" s="17" t="n">
        <v>4</v>
      </c>
      <c r="G47" s="17" t="n">
        <v>4</v>
      </c>
      <c r="H47" s="17" t="n">
        <v>3</v>
      </c>
    </row>
    <row r="48">
      <c r="A48" s="8" t="n">
        <v>6</v>
      </c>
      <c r="B48" s="16" t="inlineStr">
        <is>
          <t>Реализация организационных вех программы</t>
        </is>
      </c>
      <c r="C48" s="17" t="n">
        <v>4</v>
      </c>
      <c r="D48" s="17" t="n">
        <v>5</v>
      </c>
      <c r="E48" s="17" t="n">
        <v>4</v>
      </c>
      <c r="F48" s="17" t="n">
        <v>5</v>
      </c>
      <c r="G48" s="17" t="n">
        <v>5</v>
      </c>
      <c r="H48" s="17" t="n">
        <v>4</v>
      </c>
    </row>
    <row r="49">
      <c r="A49" s="8" t="n">
        <v>7</v>
      </c>
      <c r="B49" s="16" t="inlineStr">
        <is>
          <t>Формирование проектного офиса</t>
        </is>
      </c>
      <c r="C49" s="17" t="n">
        <v>4</v>
      </c>
      <c r="D49" s="17" t="n">
        <v>4</v>
      </c>
      <c r="E49" s="17" t="n">
        <v>4</v>
      </c>
      <c r="F49" s="17" t="n">
        <v>3</v>
      </c>
      <c r="G49" s="17" t="n">
        <v>4</v>
      </c>
      <c r="H49" s="17" t="n">
        <v>4</v>
      </c>
    </row>
    <row r="50">
      <c r="A50" s="8" t="n">
        <v>8</v>
      </c>
      <c r="B50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50" s="17" t="n">
        <v>5</v>
      </c>
      <c r="D50" s="17" t="n">
        <v>4</v>
      </c>
      <c r="E50" s="17" t="n">
        <v>3</v>
      </c>
      <c r="F50" s="17" t="n">
        <v>4</v>
      </c>
      <c r="G50" s="17" t="n">
        <v>3</v>
      </c>
      <c r="H50" s="17" t="n">
        <v>4</v>
      </c>
    </row>
    <row r="51">
      <c r="A51" s="8" t="n">
        <v>9</v>
      </c>
      <c r="B51" s="16" t="inlineStr">
        <is>
          <t>Выявление степени готовности предприятия к изменениям</t>
        </is>
      </c>
      <c r="C51" s="17" t="n">
        <v>4</v>
      </c>
      <c r="D51" s="17" t="n">
        <v>4</v>
      </c>
      <c r="E51" s="17" t="n">
        <v>3</v>
      </c>
      <c r="F51" s="17" t="n">
        <v>4</v>
      </c>
      <c r="G51" s="17" t="n">
        <v>4</v>
      </c>
      <c r="H51" s="17" t="n">
        <v>4</v>
      </c>
    </row>
    <row r="52">
      <c r="A52" s="8" t="n">
        <v>10</v>
      </c>
      <c r="B52" s="16" t="inlineStr">
        <is>
          <t>Составление плана ключевых событий</t>
        </is>
      </c>
      <c r="C52" s="17" t="n">
        <v>3</v>
      </c>
      <c r="D52" s="17" t="n">
        <v>4</v>
      </c>
      <c r="E52" s="17" t="n">
        <v>3</v>
      </c>
      <c r="F52" s="17" t="n">
        <v>3</v>
      </c>
      <c r="G52" s="17" t="n">
        <v>5</v>
      </c>
      <c r="H52" s="17" t="n">
        <v>5</v>
      </c>
    </row>
    <row r="53">
      <c r="A53" s="8" t="n">
        <v>11</v>
      </c>
      <c r="B53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53" s="17" t="n">
        <v>3</v>
      </c>
      <c r="D53" s="17" t="n">
        <v>4</v>
      </c>
      <c r="E53" s="17" t="n">
        <v>3</v>
      </c>
      <c r="F53" s="17" t="n">
        <v>4</v>
      </c>
      <c r="G53" s="17" t="n">
        <v>4</v>
      </c>
      <c r="H53" s="17" t="n">
        <v>4</v>
      </c>
    </row>
    <row r="54">
      <c r="A54" s="8" t="n">
        <v>12</v>
      </c>
      <c r="B54" s="16" t="inlineStr">
        <is>
          <t>Проведение анализа показателей проектов повышения производительности труда</t>
        </is>
      </c>
      <c r="C54" s="17" t="n">
        <v>4</v>
      </c>
      <c r="D54" s="17" t="n">
        <v>4</v>
      </c>
      <c r="E54" s="17" t="n">
        <v>4</v>
      </c>
      <c r="F54" s="17" t="n">
        <v>4</v>
      </c>
      <c r="G54" s="17" t="n">
        <v>3</v>
      </c>
      <c r="H54" s="17" t="n">
        <v>4</v>
      </c>
    </row>
    <row r="55">
      <c r="A55" s="8" t="n">
        <v>13</v>
      </c>
      <c r="B55" s="16" t="inlineStr">
        <is>
          <t>Создание карточки проекта</t>
        </is>
      </c>
      <c r="C55" s="17" t="n">
        <v>4</v>
      </c>
      <c r="D55" s="17" t="n">
        <v>4</v>
      </c>
      <c r="E55" s="17" t="n">
        <v>4</v>
      </c>
      <c r="F55" s="17" t="n">
        <v>4</v>
      </c>
      <c r="G55" s="17" t="n">
        <v>3</v>
      </c>
      <c r="H55" s="17" t="n">
        <v>4</v>
      </c>
    </row>
    <row r="56">
      <c r="A56" s="8" t="n">
        <v>14</v>
      </c>
      <c r="B56" s="16" t="inlineStr">
        <is>
          <t>Создание информационного центра проекта</t>
        </is>
      </c>
      <c r="C56" s="17" t="n">
        <v>4</v>
      </c>
      <c r="D56" s="17" t="n">
        <v>3</v>
      </c>
      <c r="E56" s="17" t="n">
        <v>4</v>
      </c>
      <c r="F56" s="17" t="n">
        <v>4</v>
      </c>
      <c r="G56" s="17" t="n">
        <v>3</v>
      </c>
      <c r="H56" s="17" t="n">
        <v>4</v>
      </c>
    </row>
    <row r="57">
      <c r="A57" s="8" t="n">
        <v>15</v>
      </c>
      <c r="B57" s="16" t="inlineStr">
        <is>
          <t>Создание эталонного участка</t>
        </is>
      </c>
      <c r="C57" s="17" t="n">
        <v>4</v>
      </c>
      <c r="D57" s="17" t="n">
        <v>3</v>
      </c>
      <c r="E57" s="17" t="n">
        <v>4</v>
      </c>
      <c r="F57" s="17" t="n">
        <v>3</v>
      </c>
      <c r="G57" s="17" t="n">
        <v>3</v>
      </c>
      <c r="H57" s="17" t="n">
        <v>4</v>
      </c>
    </row>
    <row r="58">
      <c r="A58" s="8" t="n">
        <v>16</v>
      </c>
      <c r="B58" s="16" t="inlineStr">
        <is>
          <t>Проведение оценки уровня развития производственной системы предприятия</t>
        </is>
      </c>
      <c r="C58" s="17" t="n">
        <v>4</v>
      </c>
      <c r="D58" s="17" t="n">
        <v>4</v>
      </c>
      <c r="E58" s="17" t="n">
        <v>3</v>
      </c>
      <c r="F58" s="17" t="n">
        <v>4</v>
      </c>
      <c r="G58" s="17" t="n">
        <v>3</v>
      </c>
      <c r="H58" s="17" t="n">
        <v>4</v>
      </c>
    </row>
    <row r="59">
      <c r="A59" s="8" t="n">
        <v>17</v>
      </c>
      <c r="B59" s="16" t="inlineStr">
        <is>
          <t>Внедрение информационных центров</t>
        </is>
      </c>
      <c r="C59" s="17" t="n">
        <v>4</v>
      </c>
      <c r="D59" s="17" t="n">
        <v>3</v>
      </c>
      <c r="E59" s="17" t="n">
        <v>3</v>
      </c>
      <c r="F59" s="17" t="n">
        <v>3</v>
      </c>
      <c r="G59" s="17" t="n">
        <v>4</v>
      </c>
      <c r="H59" s="17" t="n">
        <v>4</v>
      </c>
    </row>
    <row r="60">
      <c r="A60" s="8" t="n">
        <v>18</v>
      </c>
      <c r="B60" s="16" t="inlineStr">
        <is>
          <t>Подготовка к проведению тренингов</t>
        </is>
      </c>
      <c r="C60" s="17" t="n">
        <v>3</v>
      </c>
      <c r="D60" s="17" t="n">
        <v>3</v>
      </c>
      <c r="E60" s="17" t="n">
        <v>4</v>
      </c>
      <c r="F60" s="17" t="n">
        <v>4</v>
      </c>
      <c r="G60" s="17" t="n">
        <v>3</v>
      </c>
      <c r="H60" s="17" t="n">
        <v>4</v>
      </c>
    </row>
    <row r="61">
      <c r="A61" s="8" t="n">
        <v>19</v>
      </c>
      <c r="B61" s="16" t="inlineStr">
        <is>
          <t>Проведение тренингов по Бережливому производству</t>
        </is>
      </c>
      <c r="C61" s="17" t="n">
        <v>5</v>
      </c>
      <c r="D61" s="17" t="n">
        <v>4</v>
      </c>
      <c r="E61" s="17" t="n">
        <v>4</v>
      </c>
      <c r="F61" s="17" t="n">
        <v>4</v>
      </c>
      <c r="G61" s="17" t="n">
        <v>4</v>
      </c>
      <c r="H61" s="17" t="n">
        <v>4</v>
      </c>
    </row>
    <row r="62">
      <c r="A62" s="8" t="n">
        <v>20</v>
      </c>
      <c r="B62" s="16" t="inlineStr">
        <is>
          <t>Мониторинг проводимого обучения</t>
        </is>
      </c>
      <c r="C62" s="17" t="n">
        <v>4</v>
      </c>
      <c r="D62" s="17" t="n">
        <v>4</v>
      </c>
      <c r="E62" s="17" t="n">
        <v>4</v>
      </c>
      <c r="F62" s="17" t="n">
        <v>4</v>
      </c>
      <c r="G62" s="17" t="n">
        <v>3</v>
      </c>
      <c r="H62" s="17" t="n">
        <v>4</v>
      </c>
    </row>
    <row r="63">
      <c r="A63" s="8" t="n">
        <v>21</v>
      </c>
      <c r="B63" s="16" t="inlineStr">
        <is>
          <t>Картирование потоков и «Диаграмма спагетти»</t>
        </is>
      </c>
      <c r="C63" s="17" t="n">
        <v>4</v>
      </c>
      <c r="D63" s="17" t="n">
        <v>5</v>
      </c>
      <c r="E63" s="17" t="n">
        <v>5</v>
      </c>
      <c r="F63" s="17" t="n">
        <v>4</v>
      </c>
      <c r="G63" s="17" t="n">
        <v>5</v>
      </c>
      <c r="H63" s="17" t="n">
        <v>5</v>
      </c>
    </row>
    <row r="64">
      <c r="A64" s="8" t="n">
        <v>22</v>
      </c>
      <c r="B64" s="16" t="inlineStr">
        <is>
          <t>Производственный анализ</t>
        </is>
      </c>
      <c r="C64" s="17" t="n">
        <v>4</v>
      </c>
      <c r="D64" s="17" t="n">
        <v>4</v>
      </c>
      <c r="E64" s="17" t="n">
        <v>4</v>
      </c>
      <c r="F64" s="17" t="n">
        <v>4</v>
      </c>
      <c r="G64" s="17" t="n">
        <v>3</v>
      </c>
      <c r="H64" s="17" t="n">
        <v>4</v>
      </c>
    </row>
    <row r="65">
      <c r="A65" s="8" t="n">
        <v>23</v>
      </c>
      <c r="B65" s="16" t="inlineStr">
        <is>
          <t>Поток единичных изделий</t>
        </is>
      </c>
      <c r="C65" s="17" t="n">
        <v>4</v>
      </c>
      <c r="D65" s="17" t="n">
        <v>3</v>
      </c>
      <c r="E65" s="17" t="n">
        <v>4</v>
      </c>
      <c r="F65" s="17" t="n">
        <v>4</v>
      </c>
      <c r="G65" s="17" t="n">
        <v>4</v>
      </c>
      <c r="H65" s="17" t="n">
        <v>4</v>
      </c>
    </row>
    <row r="66">
      <c r="A66" s="8" t="n">
        <v>24</v>
      </c>
      <c r="B66" s="16" t="inlineStr">
        <is>
          <t>Система «Канбан»</t>
        </is>
      </c>
      <c r="C66" s="17" t="n">
        <v>3</v>
      </c>
      <c r="D66" s="17" t="n">
        <v>3</v>
      </c>
      <c r="E66" s="17" t="n">
        <v>4</v>
      </c>
      <c r="F66" s="17" t="n">
        <v>3</v>
      </c>
      <c r="G66" s="17" t="n">
        <v>4</v>
      </c>
      <c r="H66" s="17" t="n">
        <v>3</v>
      </c>
    </row>
    <row r="67">
      <c r="A67" s="8" t="n">
        <v>25</v>
      </c>
      <c r="B67" s="16" t="inlineStr">
        <is>
          <t>Стандартизированная работа</t>
        </is>
      </c>
      <c r="C67" s="17" t="n">
        <v>4</v>
      </c>
      <c r="D67" s="17" t="n">
        <v>4</v>
      </c>
      <c r="E67" s="17" t="n">
        <v>4</v>
      </c>
      <c r="F67" s="17" t="n">
        <v>4</v>
      </c>
      <c r="G67" s="17" t="n">
        <v>4</v>
      </c>
      <c r="H67" s="17" t="n">
        <v>4</v>
      </c>
    </row>
    <row r="68">
      <c r="A68" s="8" t="n">
        <v>26</v>
      </c>
      <c r="B68" s="16" t="inlineStr">
        <is>
          <t>Методы поиска первопричин и решения проблем</t>
        </is>
      </c>
      <c r="C68" s="17" t="n">
        <v>4</v>
      </c>
      <c r="D68" s="17" t="n">
        <v>4</v>
      </c>
      <c r="E68" s="17" t="n">
        <v>5</v>
      </c>
      <c r="F68" s="17" t="n">
        <v>4</v>
      </c>
      <c r="G68" s="17" t="n">
        <v>4</v>
      </c>
      <c r="H68" s="17" t="n">
        <v>5</v>
      </c>
    </row>
    <row r="69">
      <c r="A69" s="8" t="n">
        <v>27</v>
      </c>
      <c r="B69" s="16" t="inlineStr">
        <is>
          <t>Быстрая переналадка (SMED)</t>
        </is>
      </c>
      <c r="C69" s="17" t="n">
        <v>3</v>
      </c>
      <c r="D69" s="17" t="n">
        <v>4</v>
      </c>
      <c r="E69" s="17" t="n">
        <v>4</v>
      </c>
      <c r="F69" s="17" t="n">
        <v>4</v>
      </c>
      <c r="G69" s="17" t="n">
        <v>3</v>
      </c>
      <c r="H69" s="17" t="n">
        <v>4</v>
      </c>
    </row>
    <row r="70">
      <c r="A70" s="8" t="n">
        <v>28</v>
      </c>
      <c r="B70" s="16" t="inlineStr">
        <is>
          <t>«Poka-Yoke» (защита от ошибок)</t>
        </is>
      </c>
      <c r="C70" s="17" t="n">
        <v>4</v>
      </c>
      <c r="D70" s="17" t="n">
        <v>4</v>
      </c>
      <c r="E70" s="17" t="n">
        <v>4</v>
      </c>
      <c r="F70" s="17" t="n">
        <v>3</v>
      </c>
      <c r="G70" s="17" t="n">
        <v>3</v>
      </c>
      <c r="H70" s="17" t="n">
        <v>4</v>
      </c>
    </row>
    <row r="71">
      <c r="A71" s="8" t="n">
        <v>29</v>
      </c>
      <c r="B71" s="16" t="inlineStr">
        <is>
          <t>5С на производстве и в офисе</t>
        </is>
      </c>
      <c r="C71" s="17" t="n">
        <v>3</v>
      </c>
      <c r="D71" s="17" t="n">
        <v>4</v>
      </c>
      <c r="E71" s="17" t="n">
        <v>4</v>
      </c>
      <c r="F71" s="17" t="n">
        <v>4</v>
      </c>
      <c r="G71" s="17" t="n">
        <v>4</v>
      </c>
      <c r="H71" s="17" t="n">
        <v>3</v>
      </c>
    </row>
    <row r="72">
      <c r="A72" s="8" t="n">
        <v>30</v>
      </c>
      <c r="B72" s="16" t="inlineStr">
        <is>
          <t>ОЕЕ — анализ эффективности оборудования</t>
        </is>
      </c>
      <c r="C72" s="17" t="n">
        <v>3</v>
      </c>
      <c r="D72" s="17" t="n">
        <v>3</v>
      </c>
      <c r="E72" s="17" t="n">
        <v>4</v>
      </c>
      <c r="F72" s="17" t="n">
        <v>4</v>
      </c>
      <c r="G72" s="17" t="n">
        <v>3</v>
      </c>
      <c r="H72" s="17" t="n">
        <v>4</v>
      </c>
    </row>
    <row r="73">
      <c r="A73" s="8" t="n">
        <v>31</v>
      </c>
      <c r="B73" s="16" t="inlineStr">
        <is>
          <t>Автономное обслуживание оборудования</t>
        </is>
      </c>
      <c r="C73" s="17" t="n">
        <v>3</v>
      </c>
      <c r="D73" s="17" t="n">
        <v>3</v>
      </c>
      <c r="E73" s="17" t="n">
        <v>3</v>
      </c>
      <c r="F73" s="17" t="n">
        <v>3</v>
      </c>
      <c r="G73" s="17" t="n">
        <v>3</v>
      </c>
      <c r="H73" s="17" t="n">
        <v>3</v>
      </c>
    </row>
    <row r="74">
      <c r="A74" s="8" t="n">
        <v>32</v>
      </c>
      <c r="B74" s="16" t="inlineStr">
        <is>
          <t>Управление запасами</t>
        </is>
      </c>
      <c r="C74" s="17" t="n">
        <v>3</v>
      </c>
      <c r="D74" s="17" t="n">
        <v>4</v>
      </c>
      <c r="E74" s="17" t="n">
        <v>3</v>
      </c>
      <c r="F74" s="17" t="n">
        <v>4</v>
      </c>
      <c r="G74" s="17" t="n">
        <v>4</v>
      </c>
      <c r="H74" s="17" t="n">
        <v>4</v>
      </c>
    </row>
    <row r="75">
      <c r="A75" s="8" t="n">
        <v>33</v>
      </c>
      <c r="B75" s="16" t="inlineStr">
        <is>
          <t>Сбор и проверка данных от предприятий-участников, выработка корректирующих мероприятий</t>
        </is>
      </c>
      <c r="C75" s="17" t="n">
        <v>4</v>
      </c>
      <c r="D75" s="17" t="n">
        <v>3</v>
      </c>
      <c r="E75" s="17" t="n">
        <v>3</v>
      </c>
      <c r="F75" s="17" t="n">
        <v>4</v>
      </c>
      <c r="G75" s="17" t="n">
        <v>5</v>
      </c>
      <c r="H75" s="17" t="n">
        <v>4</v>
      </c>
    </row>
    <row r="76">
      <c r="A76" s="8" t="n">
        <v>34</v>
      </c>
      <c r="B76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76" s="17" t="n">
        <v>3</v>
      </c>
      <c r="D76" s="17" t="n">
        <v>3</v>
      </c>
      <c r="E76" s="17" t="n">
        <v>4</v>
      </c>
      <c r="F76" s="17" t="n">
        <v>4</v>
      </c>
      <c r="G76" s="17" t="n">
        <v>4</v>
      </c>
      <c r="H76" s="17" t="n">
        <v>4</v>
      </c>
    </row>
    <row r="77">
      <c r="A77" s="8" t="n">
        <v>35</v>
      </c>
      <c r="B77" s="16" t="inlineStr">
        <is>
          <t>Поиск и распространение лучших практик по производительности труда</t>
        </is>
      </c>
      <c r="C77" s="17" t="n">
        <v>3</v>
      </c>
      <c r="D77" s="17" t="n">
        <v>4</v>
      </c>
      <c r="E77" s="17" t="n">
        <v>4</v>
      </c>
      <c r="F77" s="17" t="n">
        <v>3</v>
      </c>
      <c r="G77" s="17" t="n">
        <v>3</v>
      </c>
      <c r="H77" s="17" t="n">
        <v>3</v>
      </c>
    </row>
    <row r="78">
      <c r="A78" s="8" t="n">
        <v>36</v>
      </c>
      <c r="B78" s="16" t="inlineStr">
        <is>
          <t>Организация работы с предложениями по улучшению (ППУ)</t>
        </is>
      </c>
      <c r="C78" s="17" t="n">
        <v>3</v>
      </c>
      <c r="D78" s="17" t="n">
        <v>5</v>
      </c>
      <c r="E78" s="17" t="n">
        <v>4</v>
      </c>
      <c r="F78" s="17" t="n">
        <v>3</v>
      </c>
      <c r="G78" s="17" t="n">
        <v>4</v>
      </c>
      <c r="H78" s="17" t="n">
        <v>3</v>
      </c>
    </row>
    <row r="79">
      <c r="A79" s="8" t="n">
        <v>37</v>
      </c>
      <c r="B79" s="16" t="inlineStr">
        <is>
          <t>Ведение мониторинга проектов в подсистеме «Совместная работа» на ИТ-платформе</t>
        </is>
      </c>
      <c r="C79" s="17" t="n">
        <v>3</v>
      </c>
      <c r="D79" s="17" t="n">
        <v>3</v>
      </c>
      <c r="E79" s="17" t="n">
        <v>4</v>
      </c>
      <c r="F79" s="17" t="n">
        <v>4</v>
      </c>
      <c r="G79" s="17" t="n">
        <v>5</v>
      </c>
      <c r="H79" s="17" t="n">
        <v>4</v>
      </c>
    </row>
    <row r="81" ht="20" customHeight="1">
      <c r="A81" s="18" t="inlineStr">
        <is>
          <t>РП-3 — Бутым Б. С. (ДЕМО)</t>
        </is>
      </c>
    </row>
    <row r="82">
      <c r="A82" s="8" t="n">
        <v>1</v>
      </c>
      <c r="B82" s="16" t="inlineStr">
        <is>
          <t>Проведение оценки на соответствие предприятия обязательным критериям</t>
        </is>
      </c>
      <c r="C82" s="17" t="n">
        <v>3</v>
      </c>
      <c r="D82" s="17" t="n">
        <v>3</v>
      </c>
      <c r="E82" s="17" t="n">
        <v>4</v>
      </c>
      <c r="F82" s="17" t="n">
        <v>3</v>
      </c>
      <c r="G82" s="17" t="n">
        <v>3</v>
      </c>
      <c r="H82" s="17" t="n">
        <v>4</v>
      </c>
    </row>
    <row r="83">
      <c r="A83" s="8" t="n">
        <v>2</v>
      </c>
      <c r="B83" s="16" t="inlineStr">
        <is>
          <t>Проведение оценки готовности руководства предприятия к участию в проекте (интервью)</t>
        </is>
      </c>
      <c r="C83" s="17" t="n">
        <v>4</v>
      </c>
      <c r="D83" s="17" t="n">
        <v>3</v>
      </c>
      <c r="E83" s="17" t="n">
        <v>3</v>
      </c>
      <c r="F83" s="17" t="n">
        <v>3</v>
      </c>
      <c r="G83" s="17" t="n">
        <v>2</v>
      </c>
      <c r="H83" s="17" t="n">
        <v>4</v>
      </c>
    </row>
    <row r="84">
      <c r="A84" s="8" t="n">
        <v>3</v>
      </c>
      <c r="B84" s="16" t="inlineStr">
        <is>
          <t>Проведение визуальной оценки производственного процесса на предприятии (визит на площадку)</t>
        </is>
      </c>
      <c r="C84" s="17" t="n">
        <v>3</v>
      </c>
      <c r="D84" s="17" t="n">
        <v>4</v>
      </c>
      <c r="E84" s="17" t="n">
        <v>4</v>
      </c>
      <c r="F84" s="17" t="n">
        <v>3</v>
      </c>
      <c r="G84" s="17" t="n">
        <v>3</v>
      </c>
      <c r="H84" s="17" t="n">
        <v>5</v>
      </c>
    </row>
    <row r="85">
      <c r="A85" s="8" t="n">
        <v>4</v>
      </c>
      <c r="B85" s="16" t="inlineStr">
        <is>
          <t>Вовлечение руководства предприятий в федеральный проект</t>
        </is>
      </c>
      <c r="C85" s="17" t="n">
        <v>4</v>
      </c>
      <c r="D85" s="17" t="n">
        <v>4</v>
      </c>
      <c r="E85" s="17" t="n">
        <v>4</v>
      </c>
      <c r="F85" s="17" t="n">
        <v>4</v>
      </c>
      <c r="G85" s="17" t="n">
        <v>3</v>
      </c>
      <c r="H85" s="17" t="n">
        <v>5</v>
      </c>
    </row>
    <row r="86">
      <c r="A86" s="8" t="n">
        <v>5</v>
      </c>
      <c r="B86" s="16" t="inlineStr">
        <is>
          <t>Подписание соглашения о сотрудничестве между РЦК и предприятием</t>
        </is>
      </c>
      <c r="C86" s="17" t="n">
        <v>4</v>
      </c>
      <c r="D86" s="17" t="n">
        <v>3</v>
      </c>
      <c r="E86" s="17" t="n">
        <v>3</v>
      </c>
      <c r="F86" s="17" t="n">
        <v>3</v>
      </c>
      <c r="G86" s="17" t="n">
        <v>5</v>
      </c>
      <c r="H86" s="17" t="n">
        <v>5</v>
      </c>
    </row>
    <row r="87">
      <c r="A87" s="8" t="n">
        <v>6</v>
      </c>
      <c r="B87" s="16" t="inlineStr">
        <is>
          <t>Реализация организационных вех программы</t>
        </is>
      </c>
      <c r="C87" s="17" t="n">
        <v>3</v>
      </c>
      <c r="D87" s="17" t="n">
        <v>4</v>
      </c>
      <c r="E87" s="17" t="n">
        <v>4</v>
      </c>
      <c r="F87" s="17" t="n">
        <v>3</v>
      </c>
      <c r="G87" s="17" t="n">
        <v>4</v>
      </c>
      <c r="H87" s="17" t="n">
        <v>4</v>
      </c>
    </row>
    <row r="88">
      <c r="A88" s="8" t="n">
        <v>7</v>
      </c>
      <c r="B88" s="16" t="inlineStr">
        <is>
          <t>Формирование проектного офиса</t>
        </is>
      </c>
      <c r="C88" s="17" t="n">
        <v>3</v>
      </c>
      <c r="D88" s="17" t="n">
        <v>4</v>
      </c>
      <c r="E88" s="17" t="n">
        <v>4</v>
      </c>
      <c r="F88" s="17" t="n">
        <v>3</v>
      </c>
      <c r="G88" s="17" t="n">
        <v>3</v>
      </c>
      <c r="H88" s="17" t="n">
        <v>4</v>
      </c>
    </row>
    <row r="89">
      <c r="A89" s="8" t="n">
        <v>8</v>
      </c>
      <c r="B89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89" s="17" t="n">
        <v>3</v>
      </c>
      <c r="D89" s="17" t="n">
        <v>4</v>
      </c>
      <c r="E89" s="17" t="n">
        <v>4</v>
      </c>
      <c r="F89" s="17" t="n">
        <v>4</v>
      </c>
      <c r="G89" s="17" t="n">
        <v>3</v>
      </c>
      <c r="H89" s="17" t="n">
        <v>3</v>
      </c>
    </row>
    <row r="90">
      <c r="A90" s="8" t="n">
        <v>9</v>
      </c>
      <c r="B90" s="16" t="inlineStr">
        <is>
          <t>Выявление степени готовности предприятия к изменениям</t>
        </is>
      </c>
      <c r="C90" s="17" t="n">
        <v>4</v>
      </c>
      <c r="D90" s="17" t="n">
        <v>3</v>
      </c>
      <c r="E90" s="17" t="n">
        <v>4</v>
      </c>
      <c r="F90" s="17" t="n">
        <v>4</v>
      </c>
      <c r="G90" s="17" t="n">
        <v>4</v>
      </c>
      <c r="H90" s="17" t="n">
        <v>4</v>
      </c>
    </row>
    <row r="91">
      <c r="A91" s="8" t="n">
        <v>10</v>
      </c>
      <c r="B91" s="16" t="inlineStr">
        <is>
          <t>Составление плана ключевых событий</t>
        </is>
      </c>
      <c r="C91" s="17" t="n">
        <v>3</v>
      </c>
      <c r="D91" s="17" t="n">
        <v>4</v>
      </c>
      <c r="E91" s="17" t="n">
        <v>3</v>
      </c>
      <c r="F91" s="17" t="n">
        <v>3</v>
      </c>
      <c r="G91" s="17" t="n">
        <v>3</v>
      </c>
      <c r="H91" s="17" t="n">
        <v>4</v>
      </c>
    </row>
    <row r="92">
      <c r="A92" s="8" t="n">
        <v>11</v>
      </c>
      <c r="B92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92" s="17" t="n">
        <v>2</v>
      </c>
      <c r="D92" s="17" t="n">
        <v>3</v>
      </c>
      <c r="E92" s="17" t="n">
        <v>3</v>
      </c>
      <c r="F92" s="17" t="n">
        <v>3</v>
      </c>
      <c r="G92" s="17" t="n">
        <v>3</v>
      </c>
      <c r="H92" s="17" t="n">
        <v>4</v>
      </c>
    </row>
    <row r="93">
      <c r="A93" s="8" t="n">
        <v>12</v>
      </c>
      <c r="B93" s="16" t="inlineStr">
        <is>
          <t>Проведение анализа показателей проектов повышения производительности труда</t>
        </is>
      </c>
      <c r="C93" s="17" t="n">
        <v>3</v>
      </c>
      <c r="D93" s="17" t="n">
        <v>3</v>
      </c>
      <c r="E93" s="17" t="n">
        <v>3</v>
      </c>
      <c r="F93" s="17" t="n">
        <v>3</v>
      </c>
      <c r="G93" s="17" t="n">
        <v>3</v>
      </c>
      <c r="H93" s="17" t="n">
        <v>4</v>
      </c>
    </row>
    <row r="94">
      <c r="A94" s="8" t="n">
        <v>13</v>
      </c>
      <c r="B94" s="16" t="inlineStr">
        <is>
          <t>Создание карточки проекта</t>
        </is>
      </c>
      <c r="C94" s="17" t="n">
        <v>3</v>
      </c>
      <c r="D94" s="17" t="n">
        <v>4</v>
      </c>
      <c r="E94" s="17" t="n">
        <v>3</v>
      </c>
      <c r="F94" s="17" t="n">
        <v>3</v>
      </c>
      <c r="G94" s="17" t="n">
        <v>3</v>
      </c>
      <c r="H94" s="17" t="n">
        <v>4</v>
      </c>
    </row>
    <row r="95">
      <c r="A95" s="8" t="n">
        <v>14</v>
      </c>
      <c r="B95" s="16" t="inlineStr">
        <is>
          <t>Создание информационного центра проекта</t>
        </is>
      </c>
      <c r="C95" s="17" t="n">
        <v>4</v>
      </c>
      <c r="D95" s="17" t="n">
        <v>4</v>
      </c>
      <c r="E95" s="17" t="n">
        <v>3</v>
      </c>
      <c r="F95" s="17" t="n">
        <v>4</v>
      </c>
      <c r="G95" s="17" t="n">
        <v>3</v>
      </c>
      <c r="H95" s="17" t="n">
        <v>5</v>
      </c>
    </row>
    <row r="96">
      <c r="A96" s="8" t="n">
        <v>15</v>
      </c>
      <c r="B96" s="16" t="inlineStr">
        <is>
          <t>Создание эталонного участка</t>
        </is>
      </c>
      <c r="C96" s="17" t="n">
        <v>3</v>
      </c>
      <c r="D96" s="17" t="n">
        <v>3</v>
      </c>
      <c r="E96" s="17" t="n">
        <v>4</v>
      </c>
      <c r="F96" s="17" t="n">
        <v>2</v>
      </c>
      <c r="G96" s="17" t="n">
        <v>3</v>
      </c>
      <c r="H96" s="17" t="n">
        <v>4</v>
      </c>
    </row>
    <row r="97">
      <c r="A97" s="8" t="n">
        <v>16</v>
      </c>
      <c r="B97" s="16" t="inlineStr">
        <is>
          <t>Проведение оценки уровня развития производственной системы предприятия</t>
        </is>
      </c>
      <c r="C97" s="17" t="n">
        <v>3</v>
      </c>
      <c r="D97" s="17" t="n">
        <v>4</v>
      </c>
      <c r="E97" s="17" t="n">
        <v>3</v>
      </c>
      <c r="F97" s="17" t="n">
        <v>4</v>
      </c>
      <c r="G97" s="17" t="n">
        <v>4</v>
      </c>
      <c r="H97" s="17" t="n">
        <v>5</v>
      </c>
    </row>
    <row r="98">
      <c r="A98" s="8" t="n">
        <v>17</v>
      </c>
      <c r="B98" s="16" t="inlineStr">
        <is>
          <t>Внедрение информационных центров</t>
        </is>
      </c>
      <c r="C98" s="17" t="n">
        <v>3</v>
      </c>
      <c r="D98" s="17" t="n">
        <v>3</v>
      </c>
      <c r="E98" s="17" t="n">
        <v>3</v>
      </c>
      <c r="F98" s="17" t="n">
        <v>3</v>
      </c>
      <c r="G98" s="17" t="n">
        <v>4</v>
      </c>
      <c r="H98" s="17" t="n">
        <v>4</v>
      </c>
    </row>
    <row r="99">
      <c r="A99" s="8" t="n">
        <v>18</v>
      </c>
      <c r="B99" s="16" t="inlineStr">
        <is>
          <t>Подготовка к проведению тренингов</t>
        </is>
      </c>
      <c r="C99" s="17" t="n">
        <v>2</v>
      </c>
      <c r="D99" s="17" t="n">
        <v>4</v>
      </c>
      <c r="E99" s="17" t="n">
        <v>4</v>
      </c>
      <c r="F99" s="17" t="n">
        <v>3</v>
      </c>
      <c r="G99" s="17" t="n">
        <v>3</v>
      </c>
      <c r="H99" s="17" t="n">
        <v>3</v>
      </c>
    </row>
    <row r="100">
      <c r="A100" s="8" t="n">
        <v>19</v>
      </c>
      <c r="B100" s="16" t="inlineStr">
        <is>
          <t>Проведение тренингов по Бережливому производству</t>
        </is>
      </c>
      <c r="C100" s="17" t="n">
        <v>1</v>
      </c>
      <c r="D100" s="17" t="n">
        <v>2</v>
      </c>
      <c r="E100" s="17" t="n">
        <v>2</v>
      </c>
      <c r="F100" s="17" t="n">
        <v>2</v>
      </c>
      <c r="G100" s="17" t="n">
        <v>2</v>
      </c>
      <c r="H100" s="17" t="n">
        <v>3</v>
      </c>
    </row>
    <row r="101">
      <c r="A101" s="8" t="n">
        <v>20</v>
      </c>
      <c r="B101" s="16" t="inlineStr">
        <is>
          <t>Мониторинг проводимого обучения</t>
        </is>
      </c>
      <c r="C101" s="17" t="n">
        <v>2</v>
      </c>
      <c r="D101" s="17" t="n">
        <v>3</v>
      </c>
      <c r="E101" s="17" t="n">
        <v>2</v>
      </c>
      <c r="F101" s="17" t="n">
        <v>2</v>
      </c>
      <c r="G101" s="17" t="n">
        <v>3</v>
      </c>
      <c r="H101" s="17" t="n">
        <v>4</v>
      </c>
    </row>
    <row r="102">
      <c r="A102" s="8" t="n">
        <v>21</v>
      </c>
      <c r="B102" s="16" t="inlineStr">
        <is>
          <t>Картирование потоков и «Диаграмма спагетти»</t>
        </is>
      </c>
      <c r="C102" s="17" t="n">
        <v>4</v>
      </c>
      <c r="D102" s="17" t="n">
        <v>4</v>
      </c>
      <c r="E102" s="17" t="n">
        <v>3</v>
      </c>
      <c r="F102" s="17" t="n">
        <v>3</v>
      </c>
      <c r="G102" s="17" t="n">
        <v>4</v>
      </c>
      <c r="H102" s="17" t="n">
        <v>4</v>
      </c>
    </row>
    <row r="103">
      <c r="A103" s="8" t="n">
        <v>22</v>
      </c>
      <c r="B103" s="16" t="inlineStr">
        <is>
          <t>Производственный анализ</t>
        </is>
      </c>
      <c r="C103" s="17" t="n">
        <v>4</v>
      </c>
      <c r="D103" s="17" t="n">
        <v>3</v>
      </c>
      <c r="E103" s="17" t="n">
        <v>2</v>
      </c>
      <c r="F103" s="17" t="n">
        <v>4</v>
      </c>
      <c r="G103" s="17" t="n">
        <v>3</v>
      </c>
      <c r="H103" s="17" t="n">
        <v>4</v>
      </c>
    </row>
    <row r="104">
      <c r="A104" s="8" t="n">
        <v>23</v>
      </c>
      <c r="B104" s="16" t="inlineStr">
        <is>
          <t>Поток единичных изделий</t>
        </is>
      </c>
      <c r="C104" s="17" t="n">
        <v>3</v>
      </c>
      <c r="D104" s="17" t="n">
        <v>3</v>
      </c>
      <c r="E104" s="17" t="n">
        <v>3</v>
      </c>
      <c r="F104" s="17" t="n">
        <v>2</v>
      </c>
      <c r="G104" s="17" t="n">
        <v>3</v>
      </c>
      <c r="H104" s="17" t="n">
        <v>4</v>
      </c>
    </row>
    <row r="105">
      <c r="A105" s="8" t="n">
        <v>24</v>
      </c>
      <c r="B105" s="16" t="inlineStr">
        <is>
          <t>Система «Канбан»</t>
        </is>
      </c>
      <c r="C105" s="17" t="n">
        <v>3</v>
      </c>
      <c r="D105" s="17" t="n">
        <v>4</v>
      </c>
      <c r="E105" s="17" t="n">
        <v>3</v>
      </c>
      <c r="F105" s="17" t="n">
        <v>2</v>
      </c>
      <c r="G105" s="17" t="n">
        <v>4</v>
      </c>
      <c r="H105" s="17" t="n">
        <v>4</v>
      </c>
    </row>
    <row r="106">
      <c r="A106" s="8" t="n">
        <v>25</v>
      </c>
      <c r="B106" s="16" t="inlineStr">
        <is>
          <t>Стандартизированная работа</t>
        </is>
      </c>
      <c r="C106" s="17" t="n">
        <v>3</v>
      </c>
      <c r="D106" s="17" t="n">
        <v>3</v>
      </c>
      <c r="E106" s="17" t="n">
        <v>4</v>
      </c>
      <c r="F106" s="17" t="n">
        <v>3</v>
      </c>
      <c r="G106" s="17" t="n">
        <v>3</v>
      </c>
      <c r="H106" s="17" t="n">
        <v>4</v>
      </c>
    </row>
    <row r="107">
      <c r="A107" s="8" t="n">
        <v>26</v>
      </c>
      <c r="B107" s="16" t="inlineStr">
        <is>
          <t>Методы поиска первопричин и решения проблем</t>
        </is>
      </c>
      <c r="C107" s="17" t="n">
        <v>4</v>
      </c>
      <c r="D107" s="17" t="n">
        <v>4</v>
      </c>
      <c r="E107" s="17" t="n">
        <v>3</v>
      </c>
      <c r="F107" s="17" t="n">
        <v>4</v>
      </c>
      <c r="G107" s="17" t="n">
        <v>3</v>
      </c>
      <c r="H107" s="17" t="n">
        <v>4</v>
      </c>
    </row>
    <row r="108">
      <c r="A108" s="8" t="n">
        <v>27</v>
      </c>
      <c r="B108" s="16" t="inlineStr">
        <is>
          <t>Быстрая переналадка (SMED)</t>
        </is>
      </c>
      <c r="C108" s="17" t="n">
        <v>4</v>
      </c>
      <c r="D108" s="17" t="n">
        <v>3</v>
      </c>
      <c r="E108" s="17" t="n">
        <v>3</v>
      </c>
      <c r="F108" s="17" t="n">
        <v>3</v>
      </c>
      <c r="G108" s="17" t="n">
        <v>3</v>
      </c>
      <c r="H108" s="17" t="n">
        <v>4</v>
      </c>
    </row>
    <row r="109">
      <c r="A109" s="8" t="n">
        <v>28</v>
      </c>
      <c r="B109" s="16" t="inlineStr">
        <is>
          <t>«Poka-Yoke» (защита от ошибок)</t>
        </is>
      </c>
      <c r="C109" s="17" t="n">
        <v>3</v>
      </c>
      <c r="D109" s="17" t="n">
        <v>3</v>
      </c>
      <c r="E109" s="17" t="n">
        <v>3</v>
      </c>
      <c r="F109" s="17" t="n">
        <v>3</v>
      </c>
      <c r="G109" s="17" t="n">
        <v>3</v>
      </c>
      <c r="H109" s="17" t="n">
        <v>4</v>
      </c>
    </row>
    <row r="110">
      <c r="A110" s="8" t="n">
        <v>29</v>
      </c>
      <c r="B110" s="16" t="inlineStr">
        <is>
          <t>5С на производстве и в офисе</t>
        </is>
      </c>
      <c r="C110" s="17" t="n">
        <v>4</v>
      </c>
      <c r="D110" s="17" t="n">
        <v>4</v>
      </c>
      <c r="E110" s="17" t="n">
        <v>3</v>
      </c>
      <c r="F110" s="17" t="n">
        <v>4</v>
      </c>
      <c r="G110" s="17" t="n">
        <v>3</v>
      </c>
      <c r="H110" s="17" t="n">
        <v>5</v>
      </c>
    </row>
    <row r="111">
      <c r="A111" s="8" t="n">
        <v>30</v>
      </c>
      <c r="B111" s="16" t="inlineStr">
        <is>
          <t>ОЕЕ — анализ эффективности оборудования</t>
        </is>
      </c>
      <c r="C111" s="17" t="n">
        <v>4</v>
      </c>
      <c r="D111" s="17" t="n">
        <v>3</v>
      </c>
      <c r="E111" s="17" t="n">
        <v>3</v>
      </c>
      <c r="F111" s="17" t="n">
        <v>4</v>
      </c>
      <c r="G111" s="17" t="n">
        <v>3</v>
      </c>
      <c r="H111" s="17" t="n">
        <v>4</v>
      </c>
    </row>
    <row r="112">
      <c r="A112" s="8" t="n">
        <v>31</v>
      </c>
      <c r="B112" s="16" t="inlineStr">
        <is>
          <t>Автономное обслуживание оборудования</t>
        </is>
      </c>
      <c r="C112" s="17" t="n">
        <v>4</v>
      </c>
      <c r="D112" s="17" t="n">
        <v>3</v>
      </c>
      <c r="E112" s="17" t="n">
        <v>4</v>
      </c>
      <c r="F112" s="17" t="n">
        <v>3</v>
      </c>
      <c r="G112" s="17" t="n">
        <v>4</v>
      </c>
      <c r="H112" s="17" t="n">
        <v>5</v>
      </c>
    </row>
    <row r="113">
      <c r="A113" s="8" t="n">
        <v>32</v>
      </c>
      <c r="B113" s="16" t="inlineStr">
        <is>
          <t>Управление запасами</t>
        </is>
      </c>
      <c r="C113" s="17" t="n">
        <v>3</v>
      </c>
      <c r="D113" s="17" t="n">
        <v>2</v>
      </c>
      <c r="E113" s="17" t="n">
        <v>3</v>
      </c>
      <c r="F113" s="17" t="n">
        <v>4</v>
      </c>
      <c r="G113" s="17" t="n">
        <v>4</v>
      </c>
      <c r="H113" s="17" t="n">
        <v>4</v>
      </c>
    </row>
    <row r="114">
      <c r="A114" s="8" t="n">
        <v>33</v>
      </c>
      <c r="B114" s="16" t="inlineStr">
        <is>
          <t>Сбор и проверка данных от предприятий-участников, выработка корректирующих мероприятий</t>
        </is>
      </c>
      <c r="C114" s="17" t="n">
        <v>3</v>
      </c>
      <c r="D114" s="17" t="n">
        <v>3</v>
      </c>
      <c r="E114" s="17" t="n">
        <v>3</v>
      </c>
      <c r="F114" s="17" t="n">
        <v>3</v>
      </c>
      <c r="G114" s="17" t="n">
        <v>3</v>
      </c>
      <c r="H114" s="17" t="n">
        <v>4</v>
      </c>
    </row>
    <row r="115">
      <c r="A115" s="8" t="n">
        <v>34</v>
      </c>
      <c r="B115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15" s="17" t="n">
        <v>3</v>
      </c>
      <c r="D115" s="17" t="n">
        <v>3</v>
      </c>
      <c r="E115" s="17" t="n">
        <v>4</v>
      </c>
      <c r="F115" s="17" t="n">
        <v>4</v>
      </c>
      <c r="G115" s="17" t="n">
        <v>2</v>
      </c>
      <c r="H115" s="17" t="n">
        <v>4</v>
      </c>
    </row>
    <row r="116">
      <c r="A116" s="8" t="n">
        <v>35</v>
      </c>
      <c r="B116" s="16" t="inlineStr">
        <is>
          <t>Поиск и распространение лучших практик по производительности труда</t>
        </is>
      </c>
      <c r="C116" s="17" t="n">
        <v>3</v>
      </c>
      <c r="D116" s="17" t="n">
        <v>4</v>
      </c>
      <c r="E116" s="17" t="n">
        <v>4</v>
      </c>
      <c r="F116" s="17" t="n">
        <v>3</v>
      </c>
      <c r="G116" s="17" t="n">
        <v>3</v>
      </c>
      <c r="H116" s="17" t="n">
        <v>5</v>
      </c>
    </row>
    <row r="117">
      <c r="A117" s="8" t="n">
        <v>36</v>
      </c>
      <c r="B117" s="16" t="inlineStr">
        <is>
          <t>Организация работы с предложениями по улучшению (ППУ)</t>
        </is>
      </c>
      <c r="C117" s="17" t="n">
        <v>3</v>
      </c>
      <c r="D117" s="17" t="n">
        <v>2</v>
      </c>
      <c r="E117" s="17" t="n">
        <v>2</v>
      </c>
      <c r="F117" s="17" t="n">
        <v>3</v>
      </c>
      <c r="G117" s="17" t="n">
        <v>3</v>
      </c>
      <c r="H117" s="17" t="n">
        <v>3</v>
      </c>
    </row>
    <row r="118">
      <c r="A118" s="8" t="n">
        <v>37</v>
      </c>
      <c r="B118" s="16" t="inlineStr">
        <is>
          <t>Ведение мониторинга проектов в подсистеме «Совместная работа» на ИТ-платформе</t>
        </is>
      </c>
      <c r="C118" s="17" t="n">
        <v>3</v>
      </c>
      <c r="D118" s="17" t="n">
        <v>4</v>
      </c>
      <c r="E118" s="17" t="n">
        <v>4</v>
      </c>
      <c r="F118" s="17" t="n">
        <v>3</v>
      </c>
      <c r="G118" s="17" t="n">
        <v>3</v>
      </c>
      <c r="H118" s="17" t="n">
        <v>4</v>
      </c>
    </row>
    <row r="120" ht="20" customHeight="1">
      <c r="A120" s="18" t="inlineStr">
        <is>
          <t>РП-4 — Маслаков А. В. (ДЕМО)</t>
        </is>
      </c>
    </row>
    <row r="121">
      <c r="A121" s="8" t="n">
        <v>1</v>
      </c>
      <c r="B121" s="16" t="inlineStr">
        <is>
          <t>Проведение оценки на соответствие предприятия обязательным критериям</t>
        </is>
      </c>
      <c r="C121" s="17" t="n">
        <v>2</v>
      </c>
      <c r="D121" s="17" t="n">
        <v>3</v>
      </c>
      <c r="E121" s="17" t="n">
        <v>3</v>
      </c>
      <c r="F121" s="17" t="n">
        <v>3</v>
      </c>
      <c r="G121" s="17" t="n">
        <v>3</v>
      </c>
      <c r="H121" s="17" t="n">
        <v>3</v>
      </c>
    </row>
    <row r="122">
      <c r="A122" s="8" t="n">
        <v>2</v>
      </c>
      <c r="B122" s="16" t="inlineStr">
        <is>
          <t>Проведение оценки готовности руководства предприятия к участию в проекте (интервью)</t>
        </is>
      </c>
      <c r="C122" s="17" t="n">
        <v>3</v>
      </c>
      <c r="D122" s="17" t="n">
        <v>3</v>
      </c>
      <c r="E122" s="17" t="n">
        <v>3</v>
      </c>
      <c r="F122" s="17" t="n">
        <v>3</v>
      </c>
      <c r="G122" s="17" t="n">
        <v>4</v>
      </c>
      <c r="H122" s="17" t="n">
        <v>3</v>
      </c>
    </row>
    <row r="123">
      <c r="A123" s="8" t="n">
        <v>3</v>
      </c>
      <c r="B123" s="16" t="inlineStr">
        <is>
          <t>Проведение визуальной оценки производственного процесса на предприятии (визит на площадку)</t>
        </is>
      </c>
      <c r="C123" s="17" t="n">
        <v>3</v>
      </c>
      <c r="D123" s="17" t="n">
        <v>3</v>
      </c>
      <c r="E123" s="17" t="n">
        <v>3</v>
      </c>
      <c r="F123" s="17" t="n">
        <v>3</v>
      </c>
      <c r="G123" s="17" t="n">
        <v>4</v>
      </c>
      <c r="H123" s="17" t="n">
        <v>3</v>
      </c>
    </row>
    <row r="124">
      <c r="A124" s="8" t="n">
        <v>4</v>
      </c>
      <c r="B124" s="16" t="inlineStr">
        <is>
          <t>Вовлечение руководства предприятий в федеральный проект</t>
        </is>
      </c>
      <c r="C124" s="17" t="n">
        <v>3</v>
      </c>
      <c r="D124" s="17" t="n">
        <v>3</v>
      </c>
      <c r="E124" s="17" t="n">
        <v>3</v>
      </c>
      <c r="F124" s="17" t="n">
        <v>3</v>
      </c>
      <c r="G124" s="17" t="n">
        <v>3</v>
      </c>
      <c r="H124" s="17" t="n">
        <v>3</v>
      </c>
    </row>
    <row r="125">
      <c r="A125" s="8" t="n">
        <v>5</v>
      </c>
      <c r="B125" s="16" t="inlineStr">
        <is>
          <t>Подписание соглашения о сотрудничестве между РЦК и предприятием</t>
        </is>
      </c>
      <c r="C125" s="17" t="n">
        <v>2</v>
      </c>
      <c r="D125" s="17" t="n">
        <v>2</v>
      </c>
      <c r="E125" s="17" t="n">
        <v>3</v>
      </c>
      <c r="F125" s="17" t="n">
        <v>3</v>
      </c>
      <c r="G125" s="17" t="n">
        <v>2</v>
      </c>
      <c r="H125" s="17" t="n">
        <v>3</v>
      </c>
    </row>
    <row r="126">
      <c r="A126" s="8" t="n">
        <v>6</v>
      </c>
      <c r="B126" s="16" t="inlineStr">
        <is>
          <t>Реализация организационных вех программы</t>
        </is>
      </c>
      <c r="C126" s="17" t="n">
        <v>4</v>
      </c>
      <c r="D126" s="17" t="n">
        <v>4</v>
      </c>
      <c r="E126" s="17" t="n">
        <v>3</v>
      </c>
      <c r="F126" s="17" t="n">
        <v>4</v>
      </c>
      <c r="G126" s="17" t="n">
        <v>3</v>
      </c>
      <c r="H126" s="17" t="n">
        <v>3</v>
      </c>
    </row>
    <row r="127">
      <c r="A127" s="8" t="n">
        <v>7</v>
      </c>
      <c r="B127" s="16" t="inlineStr">
        <is>
          <t>Формирование проектного офиса</t>
        </is>
      </c>
      <c r="C127" s="17" t="n">
        <v>3</v>
      </c>
      <c r="D127" s="17" t="n">
        <v>3</v>
      </c>
      <c r="E127" s="17" t="n">
        <v>3</v>
      </c>
      <c r="F127" s="17" t="n">
        <v>3</v>
      </c>
      <c r="G127" s="17" t="n">
        <v>3</v>
      </c>
      <c r="H127" s="17" t="n">
        <v>3</v>
      </c>
    </row>
    <row r="128">
      <c r="A128" s="8" t="n">
        <v>8</v>
      </c>
      <c r="B128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28" s="17" t="n">
        <v>3</v>
      </c>
      <c r="D128" s="17" t="n">
        <v>2</v>
      </c>
      <c r="E128" s="17" t="n">
        <v>2</v>
      </c>
      <c r="F128" s="17" t="n">
        <v>2</v>
      </c>
      <c r="G128" s="17" t="n">
        <v>3</v>
      </c>
      <c r="H128" s="17" t="n">
        <v>3</v>
      </c>
    </row>
    <row r="129">
      <c r="A129" s="8" t="n">
        <v>9</v>
      </c>
      <c r="B129" s="16" t="inlineStr">
        <is>
          <t>Выявление степени готовности предприятия к изменениям</t>
        </is>
      </c>
      <c r="C129" s="17" t="n">
        <v>3</v>
      </c>
      <c r="D129" s="17" t="n">
        <v>2</v>
      </c>
      <c r="E129" s="17" t="n">
        <v>2</v>
      </c>
      <c r="F129" s="17" t="n">
        <v>3</v>
      </c>
      <c r="G129" s="17" t="n">
        <v>3</v>
      </c>
      <c r="H129" s="17" t="n">
        <v>3</v>
      </c>
    </row>
    <row r="130">
      <c r="A130" s="8" t="n">
        <v>10</v>
      </c>
      <c r="B130" s="16" t="inlineStr">
        <is>
          <t>Составление плана ключевых событий</t>
        </is>
      </c>
      <c r="C130" s="17" t="n">
        <v>4</v>
      </c>
      <c r="D130" s="17" t="n">
        <v>4</v>
      </c>
      <c r="E130" s="17" t="n">
        <v>4</v>
      </c>
      <c r="F130" s="17" t="n">
        <v>3</v>
      </c>
      <c r="G130" s="17" t="n">
        <v>3</v>
      </c>
      <c r="H130" s="17" t="n">
        <v>3</v>
      </c>
    </row>
    <row r="131">
      <c r="A131" s="8" t="n">
        <v>11</v>
      </c>
      <c r="B131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31" s="17" t="n">
        <v>4</v>
      </c>
      <c r="D131" s="17" t="n">
        <v>3</v>
      </c>
      <c r="E131" s="17" t="n">
        <v>3</v>
      </c>
      <c r="F131" s="17" t="n">
        <v>4</v>
      </c>
      <c r="G131" s="17" t="n">
        <v>3</v>
      </c>
      <c r="H131" s="17" t="n">
        <v>4</v>
      </c>
    </row>
    <row r="132">
      <c r="A132" s="8" t="n">
        <v>12</v>
      </c>
      <c r="B132" s="16" t="inlineStr">
        <is>
          <t>Проведение анализа показателей проектов повышения производительности труда</t>
        </is>
      </c>
      <c r="C132" s="17" t="n">
        <v>3</v>
      </c>
      <c r="D132" s="17" t="n">
        <v>3</v>
      </c>
      <c r="E132" s="17" t="n">
        <v>3</v>
      </c>
      <c r="F132" s="17" t="n">
        <v>3</v>
      </c>
      <c r="G132" s="17" t="n">
        <v>3</v>
      </c>
      <c r="H132" s="17" t="n">
        <v>3</v>
      </c>
    </row>
    <row r="133">
      <c r="A133" s="8" t="n">
        <v>13</v>
      </c>
      <c r="B133" s="16" t="inlineStr">
        <is>
          <t>Создание карточки проекта</t>
        </is>
      </c>
      <c r="C133" s="17" t="n">
        <v>4</v>
      </c>
      <c r="D133" s="17" t="n">
        <v>4</v>
      </c>
      <c r="E133" s="17" t="n">
        <v>4</v>
      </c>
      <c r="F133" s="17" t="n">
        <v>3</v>
      </c>
      <c r="G133" s="17" t="n">
        <v>3</v>
      </c>
      <c r="H133" s="17" t="n">
        <v>4</v>
      </c>
    </row>
    <row r="134">
      <c r="A134" s="8" t="n">
        <v>14</v>
      </c>
      <c r="B134" s="16" t="inlineStr">
        <is>
          <t>Создание информационного центра проекта</t>
        </is>
      </c>
      <c r="C134" s="17" t="n">
        <v>3</v>
      </c>
      <c r="D134" s="17" t="n">
        <v>3</v>
      </c>
      <c r="E134" s="17" t="n">
        <v>3</v>
      </c>
      <c r="F134" s="17" t="n">
        <v>4</v>
      </c>
      <c r="G134" s="17" t="n">
        <v>3</v>
      </c>
      <c r="H134" s="17" t="n">
        <v>3</v>
      </c>
    </row>
    <row r="135">
      <c r="A135" s="8" t="n">
        <v>15</v>
      </c>
      <c r="B135" s="16" t="inlineStr">
        <is>
          <t>Создание эталонного участка</t>
        </is>
      </c>
      <c r="C135" s="17" t="n">
        <v>4</v>
      </c>
      <c r="D135" s="17" t="n">
        <v>3</v>
      </c>
      <c r="E135" s="17" t="n">
        <v>3</v>
      </c>
      <c r="F135" s="17" t="n">
        <v>5</v>
      </c>
      <c r="G135" s="17" t="n">
        <v>3</v>
      </c>
      <c r="H135" s="17" t="n">
        <v>4</v>
      </c>
    </row>
    <row r="136">
      <c r="A136" s="8" t="n">
        <v>16</v>
      </c>
      <c r="B136" s="16" t="inlineStr">
        <is>
          <t>Проведение оценки уровня развития производственной системы предприятия</t>
        </is>
      </c>
      <c r="C136" s="17" t="n">
        <v>3</v>
      </c>
      <c r="D136" s="17" t="n">
        <v>4</v>
      </c>
      <c r="E136" s="17" t="n">
        <v>4</v>
      </c>
      <c r="F136" s="17" t="n">
        <v>4</v>
      </c>
      <c r="G136" s="17" t="n">
        <v>4</v>
      </c>
      <c r="H136" s="17" t="n">
        <v>4</v>
      </c>
    </row>
    <row r="137">
      <c r="A137" s="8" t="n">
        <v>17</v>
      </c>
      <c r="B137" s="16" t="inlineStr">
        <is>
          <t>Внедрение информационных центров</t>
        </is>
      </c>
      <c r="C137" s="17" t="n">
        <v>3</v>
      </c>
      <c r="D137" s="17" t="n">
        <v>4</v>
      </c>
      <c r="E137" s="17" t="n">
        <v>2</v>
      </c>
      <c r="F137" s="17" t="n">
        <v>3</v>
      </c>
      <c r="G137" s="17" t="n">
        <v>4</v>
      </c>
      <c r="H137" s="17" t="n">
        <v>4</v>
      </c>
    </row>
    <row r="138">
      <c r="A138" s="8" t="n">
        <v>18</v>
      </c>
      <c r="B138" s="16" t="inlineStr">
        <is>
          <t>Подготовка к проведению тренингов</t>
        </is>
      </c>
      <c r="C138" s="17" t="n">
        <v>4</v>
      </c>
      <c r="D138" s="17" t="n">
        <v>3</v>
      </c>
      <c r="E138" s="17" t="n">
        <v>4</v>
      </c>
      <c r="F138" s="17" t="n">
        <v>4</v>
      </c>
      <c r="G138" s="17" t="n">
        <v>3</v>
      </c>
      <c r="H138" s="17" t="n">
        <v>3</v>
      </c>
    </row>
    <row r="139">
      <c r="A139" s="8" t="n">
        <v>19</v>
      </c>
      <c r="B139" s="16" t="inlineStr">
        <is>
          <t>Проведение тренингов по Бережливому производству</t>
        </is>
      </c>
      <c r="C139" s="17" t="n">
        <v>4</v>
      </c>
      <c r="D139" s="17" t="n">
        <v>4</v>
      </c>
      <c r="E139" s="17" t="n">
        <v>3</v>
      </c>
      <c r="F139" s="17" t="n">
        <v>3</v>
      </c>
      <c r="G139" s="17" t="n">
        <v>3</v>
      </c>
      <c r="H139" s="17" t="n">
        <v>3</v>
      </c>
    </row>
    <row r="140">
      <c r="A140" s="8" t="n">
        <v>20</v>
      </c>
      <c r="B140" s="16" t="inlineStr">
        <is>
          <t>Мониторинг проводимого обучения</t>
        </is>
      </c>
      <c r="C140" s="17" t="n">
        <v>3</v>
      </c>
      <c r="D140" s="17" t="n">
        <v>4</v>
      </c>
      <c r="E140" s="17" t="n">
        <v>3</v>
      </c>
      <c r="F140" s="17" t="n">
        <v>3</v>
      </c>
      <c r="G140" s="17" t="n">
        <v>3</v>
      </c>
      <c r="H140" s="17" t="n">
        <v>4</v>
      </c>
    </row>
    <row r="141">
      <c r="A141" s="8" t="n">
        <v>21</v>
      </c>
      <c r="B141" s="16" t="inlineStr">
        <is>
          <t>Картирование потоков и «Диаграмма спагетти»</t>
        </is>
      </c>
      <c r="C141" s="17" t="n">
        <v>5</v>
      </c>
      <c r="D141" s="17" t="n">
        <v>5</v>
      </c>
      <c r="E141" s="17" t="n">
        <v>4</v>
      </c>
      <c r="F141" s="17" t="n">
        <v>4</v>
      </c>
      <c r="G141" s="17" t="n">
        <v>4</v>
      </c>
      <c r="H141" s="17" t="n">
        <v>4</v>
      </c>
    </row>
    <row r="142">
      <c r="A142" s="8" t="n">
        <v>22</v>
      </c>
      <c r="B142" s="16" t="inlineStr">
        <is>
          <t>Производственный анализ</t>
        </is>
      </c>
      <c r="C142" s="17" t="n">
        <v>4</v>
      </c>
      <c r="D142" s="17" t="n">
        <v>4</v>
      </c>
      <c r="E142" s="17" t="n">
        <v>3</v>
      </c>
      <c r="F142" s="17" t="n">
        <v>4</v>
      </c>
      <c r="G142" s="17" t="n">
        <v>5</v>
      </c>
      <c r="H142" s="17" t="n">
        <v>5</v>
      </c>
    </row>
    <row r="143">
      <c r="A143" s="8" t="n">
        <v>23</v>
      </c>
      <c r="B143" s="16" t="inlineStr">
        <is>
          <t>Поток единичных изделий</t>
        </is>
      </c>
      <c r="C143" s="17" t="n">
        <v>5</v>
      </c>
      <c r="D143" s="17" t="n">
        <v>4</v>
      </c>
      <c r="E143" s="17" t="n">
        <v>4</v>
      </c>
      <c r="F143" s="17" t="n">
        <v>4</v>
      </c>
      <c r="G143" s="17" t="n">
        <v>5</v>
      </c>
      <c r="H143" s="17" t="n">
        <v>4</v>
      </c>
    </row>
    <row r="144">
      <c r="A144" s="8" t="n">
        <v>24</v>
      </c>
      <c r="B144" s="16" t="inlineStr">
        <is>
          <t>Система «Канбан»</t>
        </is>
      </c>
      <c r="C144" s="17" t="n">
        <v>4</v>
      </c>
      <c r="D144" s="17" t="n">
        <v>4</v>
      </c>
      <c r="E144" s="17" t="n">
        <v>4</v>
      </c>
      <c r="F144" s="17" t="n">
        <v>5</v>
      </c>
      <c r="G144" s="17" t="n">
        <v>4</v>
      </c>
      <c r="H144" s="17" t="n">
        <v>4</v>
      </c>
    </row>
    <row r="145">
      <c r="A145" s="8" t="n">
        <v>25</v>
      </c>
      <c r="B145" s="16" t="inlineStr">
        <is>
          <t>Стандартизированная работа</t>
        </is>
      </c>
      <c r="C145" s="17" t="n">
        <v>4</v>
      </c>
      <c r="D145" s="17" t="n">
        <v>5</v>
      </c>
      <c r="E145" s="17" t="n">
        <v>4</v>
      </c>
      <c r="F145" s="17" t="n">
        <v>4</v>
      </c>
      <c r="G145" s="17" t="n">
        <v>4</v>
      </c>
      <c r="H145" s="17" t="n">
        <v>4</v>
      </c>
    </row>
    <row r="146">
      <c r="A146" s="8" t="n">
        <v>26</v>
      </c>
      <c r="B146" s="16" t="inlineStr">
        <is>
          <t>Методы поиска первопричин и решения проблем</t>
        </is>
      </c>
      <c r="C146" s="17" t="n">
        <v>4</v>
      </c>
      <c r="D146" s="17" t="n">
        <v>4</v>
      </c>
      <c r="E146" s="17" t="n">
        <v>3</v>
      </c>
      <c r="F146" s="17" t="n">
        <v>4</v>
      </c>
      <c r="G146" s="17" t="n">
        <v>4</v>
      </c>
      <c r="H146" s="17" t="n">
        <v>4</v>
      </c>
    </row>
    <row r="147">
      <c r="A147" s="8" t="n">
        <v>27</v>
      </c>
      <c r="B147" s="16" t="inlineStr">
        <is>
          <t>Быстрая переналадка (SMED)</t>
        </is>
      </c>
      <c r="C147" s="17" t="n">
        <v>5</v>
      </c>
      <c r="D147" s="17" t="n">
        <v>4</v>
      </c>
      <c r="E147" s="17" t="n">
        <v>4</v>
      </c>
      <c r="F147" s="17" t="n">
        <v>3</v>
      </c>
      <c r="G147" s="17" t="n">
        <v>4</v>
      </c>
      <c r="H147" s="17" t="n">
        <v>5</v>
      </c>
    </row>
    <row r="148">
      <c r="A148" s="8" t="n">
        <v>28</v>
      </c>
      <c r="B148" s="16" t="inlineStr">
        <is>
          <t>«Poka-Yoke» (защита от ошибок)</t>
        </is>
      </c>
      <c r="C148" s="17" t="n">
        <v>4</v>
      </c>
      <c r="D148" s="17" t="n">
        <v>5</v>
      </c>
      <c r="E148" s="17" t="n">
        <v>4</v>
      </c>
      <c r="F148" s="17" t="n">
        <v>4</v>
      </c>
      <c r="G148" s="17" t="n">
        <v>4</v>
      </c>
      <c r="H148" s="17" t="n">
        <v>4</v>
      </c>
    </row>
    <row r="149">
      <c r="A149" s="8" t="n">
        <v>29</v>
      </c>
      <c r="B149" s="16" t="inlineStr">
        <is>
          <t>5С на производстве и в офисе</t>
        </is>
      </c>
      <c r="C149" s="17" t="n">
        <v>4</v>
      </c>
      <c r="D149" s="17" t="n">
        <v>4</v>
      </c>
      <c r="E149" s="17" t="n">
        <v>3</v>
      </c>
      <c r="F149" s="17" t="n">
        <v>4</v>
      </c>
      <c r="G149" s="17" t="n">
        <v>4</v>
      </c>
      <c r="H149" s="17" t="n">
        <v>4</v>
      </c>
    </row>
    <row r="150">
      <c r="A150" s="8" t="n">
        <v>30</v>
      </c>
      <c r="B150" s="16" t="inlineStr">
        <is>
          <t>ОЕЕ — анализ эффективности оборудования</t>
        </is>
      </c>
      <c r="C150" s="17" t="n">
        <v>3</v>
      </c>
      <c r="D150" s="17" t="n">
        <v>5</v>
      </c>
      <c r="E150" s="17" t="n">
        <v>5</v>
      </c>
      <c r="F150" s="17" t="n">
        <v>4</v>
      </c>
      <c r="G150" s="17" t="n">
        <v>4</v>
      </c>
      <c r="H150" s="17" t="n">
        <v>5</v>
      </c>
    </row>
    <row r="151">
      <c r="A151" s="8" t="n">
        <v>31</v>
      </c>
      <c r="B151" s="16" t="inlineStr">
        <is>
          <t>Автономное обслуживание оборудования</t>
        </is>
      </c>
      <c r="C151" s="17" t="n">
        <v>4</v>
      </c>
      <c r="D151" s="17" t="n">
        <v>4</v>
      </c>
      <c r="E151" s="17" t="n">
        <v>3</v>
      </c>
      <c r="F151" s="17" t="n">
        <v>5</v>
      </c>
      <c r="G151" s="17" t="n">
        <v>4</v>
      </c>
      <c r="H151" s="17" t="n">
        <v>4</v>
      </c>
    </row>
    <row r="152">
      <c r="A152" s="8" t="n">
        <v>32</v>
      </c>
      <c r="B152" s="16" t="inlineStr">
        <is>
          <t>Управление запасами</t>
        </is>
      </c>
      <c r="C152" s="17" t="n">
        <v>4</v>
      </c>
      <c r="D152" s="17" t="n">
        <v>5</v>
      </c>
      <c r="E152" s="17" t="n">
        <v>4</v>
      </c>
      <c r="F152" s="17" t="n">
        <v>4</v>
      </c>
      <c r="G152" s="17" t="n">
        <v>4</v>
      </c>
      <c r="H152" s="17" t="n">
        <v>4</v>
      </c>
    </row>
    <row r="153">
      <c r="A153" s="8" t="n">
        <v>33</v>
      </c>
      <c r="B153" s="16" t="inlineStr">
        <is>
          <t>Сбор и проверка данных от предприятий-участников, выработка корректирующих мероприятий</t>
        </is>
      </c>
      <c r="C153" s="17" t="n">
        <v>4</v>
      </c>
      <c r="D153" s="17" t="n">
        <v>3</v>
      </c>
      <c r="E153" s="17" t="n">
        <v>3</v>
      </c>
      <c r="F153" s="17" t="n">
        <v>4</v>
      </c>
      <c r="G153" s="17" t="n">
        <v>4</v>
      </c>
      <c r="H153" s="17" t="n">
        <v>3</v>
      </c>
    </row>
    <row r="154">
      <c r="A154" s="8" t="n">
        <v>34</v>
      </c>
      <c r="B154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54" s="17" t="n">
        <v>4</v>
      </c>
      <c r="D154" s="17" t="n">
        <v>4</v>
      </c>
      <c r="E154" s="17" t="n">
        <v>3</v>
      </c>
      <c r="F154" s="17" t="n">
        <v>3</v>
      </c>
      <c r="G154" s="17" t="n">
        <v>3</v>
      </c>
      <c r="H154" s="17" t="n">
        <v>4</v>
      </c>
    </row>
    <row r="155">
      <c r="A155" s="8" t="n">
        <v>35</v>
      </c>
      <c r="B155" s="16" t="inlineStr">
        <is>
          <t>Поиск и распространение лучших практик по производительности труда</t>
        </is>
      </c>
      <c r="C155" s="17" t="n">
        <v>3</v>
      </c>
      <c r="D155" s="17" t="n">
        <v>4</v>
      </c>
      <c r="E155" s="17" t="n">
        <v>4</v>
      </c>
      <c r="F155" s="17" t="n">
        <v>3</v>
      </c>
      <c r="G155" s="17" t="n">
        <v>4</v>
      </c>
      <c r="H155" s="17" t="n">
        <v>3</v>
      </c>
    </row>
    <row r="156">
      <c r="A156" s="8" t="n">
        <v>36</v>
      </c>
      <c r="B156" s="16" t="inlineStr">
        <is>
          <t>Организация работы с предложениями по улучшению (ППУ)</t>
        </is>
      </c>
      <c r="C156" s="17" t="n">
        <v>4</v>
      </c>
      <c r="D156" s="17" t="n">
        <v>3</v>
      </c>
      <c r="E156" s="17" t="n">
        <v>3</v>
      </c>
      <c r="F156" s="17" t="n">
        <v>4</v>
      </c>
      <c r="G156" s="17" t="n">
        <v>3</v>
      </c>
      <c r="H156" s="17" t="n">
        <v>3</v>
      </c>
    </row>
    <row r="157">
      <c r="A157" s="8" t="n">
        <v>37</v>
      </c>
      <c r="B157" s="16" t="inlineStr">
        <is>
          <t>Ведение мониторинга проектов в подсистеме «Совместная работа» на ИТ-платформе</t>
        </is>
      </c>
      <c r="C157" s="17" t="n">
        <v>3</v>
      </c>
      <c r="D157" s="17" t="n">
        <v>4</v>
      </c>
      <c r="E157" s="17" t="n">
        <v>4</v>
      </c>
      <c r="F157" s="17" t="n">
        <v>3</v>
      </c>
      <c r="G157" s="17" t="n">
        <v>3</v>
      </c>
      <c r="H157" s="17" t="n">
        <v>4</v>
      </c>
    </row>
    <row r="159" ht="20" customHeight="1">
      <c r="A159" s="18" t="inlineStr">
        <is>
          <t>РП-5 — Яковлев А. В. (ДЕМО)</t>
        </is>
      </c>
    </row>
    <row r="160">
      <c r="A160" s="8" t="n">
        <v>1</v>
      </c>
      <c r="B160" s="16" t="inlineStr">
        <is>
          <t>Проведение оценки на соответствие предприятия обязательным критериям</t>
        </is>
      </c>
      <c r="C160" s="17" t="n">
        <v>4</v>
      </c>
      <c r="D160" s="17" t="n">
        <v>4</v>
      </c>
      <c r="E160" s="17" t="n">
        <v>3</v>
      </c>
      <c r="F160" s="17" t="n">
        <v>4</v>
      </c>
      <c r="G160" s="17" t="n">
        <v>3</v>
      </c>
      <c r="H160" s="17" t="n">
        <v>3</v>
      </c>
    </row>
    <row r="161">
      <c r="A161" s="8" t="n">
        <v>2</v>
      </c>
      <c r="B161" s="16" t="inlineStr">
        <is>
          <t>Проведение оценки готовности руководства предприятия к участию в проекте (интервью)</t>
        </is>
      </c>
      <c r="C161" s="17" t="n">
        <v>3</v>
      </c>
      <c r="D161" s="17" t="n">
        <v>3</v>
      </c>
      <c r="E161" s="17" t="n">
        <v>3</v>
      </c>
      <c r="F161" s="17" t="n">
        <v>2</v>
      </c>
      <c r="G161" s="17" t="n">
        <v>3</v>
      </c>
      <c r="H161" s="17" t="n">
        <v>3</v>
      </c>
    </row>
    <row r="162">
      <c r="A162" s="8" t="n">
        <v>3</v>
      </c>
      <c r="B162" s="16" t="inlineStr">
        <is>
          <t>Проведение визуальной оценки производственного процесса на предприятии (визит на площадку)</t>
        </is>
      </c>
      <c r="C162" s="17" t="n">
        <v>3</v>
      </c>
      <c r="D162" s="17" t="n">
        <v>3</v>
      </c>
      <c r="E162" s="17" t="n">
        <v>3</v>
      </c>
      <c r="F162" s="17" t="n">
        <v>2</v>
      </c>
      <c r="G162" s="17" t="n">
        <v>2</v>
      </c>
      <c r="H162" s="17" t="n">
        <v>3</v>
      </c>
    </row>
    <row r="163">
      <c r="A163" s="8" t="n">
        <v>4</v>
      </c>
      <c r="B163" s="16" t="inlineStr">
        <is>
          <t>Вовлечение руководства предприятий в федеральный проект</t>
        </is>
      </c>
      <c r="C163" s="17" t="n">
        <v>3</v>
      </c>
      <c r="D163" s="17" t="n">
        <v>3</v>
      </c>
      <c r="E163" s="17" t="n">
        <v>3</v>
      </c>
      <c r="F163" s="17" t="n">
        <v>4</v>
      </c>
      <c r="G163" s="17" t="n">
        <v>2</v>
      </c>
      <c r="H163" s="17" t="n">
        <v>3</v>
      </c>
    </row>
    <row r="164">
      <c r="A164" s="8" t="n">
        <v>5</v>
      </c>
      <c r="B164" s="16" t="inlineStr">
        <is>
          <t>Подписание соглашения о сотрудничестве между РЦК и предприятием</t>
        </is>
      </c>
      <c r="C164" s="17" t="n">
        <v>3</v>
      </c>
      <c r="D164" s="17" t="n">
        <v>3</v>
      </c>
      <c r="E164" s="17" t="n">
        <v>2</v>
      </c>
      <c r="F164" s="17" t="n">
        <v>3</v>
      </c>
      <c r="G164" s="17" t="n">
        <v>3</v>
      </c>
      <c r="H164" s="17" t="n">
        <v>4</v>
      </c>
    </row>
    <row r="165">
      <c r="A165" s="8" t="n">
        <v>6</v>
      </c>
      <c r="B165" s="16" t="inlineStr">
        <is>
          <t>Реализация организационных вех программы</t>
        </is>
      </c>
      <c r="C165" s="17" t="n">
        <v>3</v>
      </c>
      <c r="D165" s="17" t="n">
        <v>3</v>
      </c>
      <c r="E165" s="17" t="n">
        <v>3</v>
      </c>
      <c r="F165" s="17" t="n">
        <v>3</v>
      </c>
      <c r="G165" s="17" t="n">
        <v>3</v>
      </c>
      <c r="H165" s="17" t="n">
        <v>3</v>
      </c>
    </row>
    <row r="166">
      <c r="A166" s="8" t="n">
        <v>7</v>
      </c>
      <c r="B166" s="16" t="inlineStr">
        <is>
          <t>Формирование проектного офиса</t>
        </is>
      </c>
      <c r="C166" s="17" t="n">
        <v>3</v>
      </c>
      <c r="D166" s="17" t="n">
        <v>3</v>
      </c>
      <c r="E166" s="17" t="n">
        <v>2</v>
      </c>
      <c r="F166" s="17" t="n">
        <v>3</v>
      </c>
      <c r="G166" s="17" t="n">
        <v>3</v>
      </c>
      <c r="H166" s="17" t="n">
        <v>4</v>
      </c>
    </row>
    <row r="167">
      <c r="A167" s="8" t="n">
        <v>8</v>
      </c>
      <c r="B167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67" s="17" t="n">
        <v>3</v>
      </c>
      <c r="D167" s="17" t="n">
        <v>3</v>
      </c>
      <c r="E167" s="17" t="n">
        <v>3</v>
      </c>
      <c r="F167" s="17" t="n">
        <v>3</v>
      </c>
      <c r="G167" s="17" t="n">
        <v>2</v>
      </c>
      <c r="H167" s="17" t="n">
        <v>4</v>
      </c>
    </row>
    <row r="168">
      <c r="A168" s="8" t="n">
        <v>9</v>
      </c>
      <c r="B168" s="16" t="inlineStr">
        <is>
          <t>Выявление степени готовности предприятия к изменениям</t>
        </is>
      </c>
      <c r="C168" s="17" t="n">
        <v>3</v>
      </c>
      <c r="D168" s="17" t="n">
        <v>3</v>
      </c>
      <c r="E168" s="17" t="n">
        <v>3</v>
      </c>
      <c r="F168" s="17" t="n">
        <v>2</v>
      </c>
      <c r="G168" s="17" t="n">
        <v>3</v>
      </c>
      <c r="H168" s="17" t="n">
        <v>4</v>
      </c>
    </row>
    <row r="169">
      <c r="A169" s="8" t="n">
        <v>10</v>
      </c>
      <c r="B169" s="16" t="inlineStr">
        <is>
          <t>Составление плана ключевых событий</t>
        </is>
      </c>
      <c r="C169" s="17" t="n">
        <v>3</v>
      </c>
      <c r="D169" s="17" t="n">
        <v>3</v>
      </c>
      <c r="E169" s="17" t="n">
        <v>3</v>
      </c>
      <c r="F169" s="17" t="n">
        <v>3</v>
      </c>
      <c r="G169" s="17" t="n">
        <v>2</v>
      </c>
      <c r="H169" s="17" t="n">
        <v>4</v>
      </c>
    </row>
    <row r="170">
      <c r="A170" s="8" t="n">
        <v>11</v>
      </c>
      <c r="B170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70" s="17" t="n">
        <v>2</v>
      </c>
      <c r="D170" s="17" t="n">
        <v>3</v>
      </c>
      <c r="E170" s="17" t="n">
        <v>3</v>
      </c>
      <c r="F170" s="17" t="n">
        <v>3</v>
      </c>
      <c r="G170" s="17" t="n">
        <v>3</v>
      </c>
      <c r="H170" s="17" t="n">
        <v>4</v>
      </c>
    </row>
    <row r="171">
      <c r="A171" s="8" t="n">
        <v>12</v>
      </c>
      <c r="B171" s="16" t="inlineStr">
        <is>
          <t>Проведение анализа показателей проектов повышения производительности труда</t>
        </is>
      </c>
      <c r="C171" s="17" t="n">
        <v>2</v>
      </c>
      <c r="D171" s="17" t="n">
        <v>2</v>
      </c>
      <c r="E171" s="17" t="n">
        <v>2</v>
      </c>
      <c r="F171" s="17" t="n">
        <v>3</v>
      </c>
      <c r="G171" s="17" t="n">
        <v>2</v>
      </c>
      <c r="H171" s="17" t="n">
        <v>2</v>
      </c>
    </row>
    <row r="172">
      <c r="A172" s="8" t="n">
        <v>13</v>
      </c>
      <c r="B172" s="16" t="inlineStr">
        <is>
          <t>Создание карточки проекта</t>
        </is>
      </c>
      <c r="C172" s="17" t="n">
        <v>3</v>
      </c>
      <c r="D172" s="17" t="n">
        <v>3</v>
      </c>
      <c r="E172" s="17" t="n">
        <v>3</v>
      </c>
      <c r="F172" s="17" t="n">
        <v>2</v>
      </c>
      <c r="G172" s="17" t="n">
        <v>3</v>
      </c>
      <c r="H172" s="17" t="n">
        <v>3</v>
      </c>
    </row>
    <row r="173">
      <c r="A173" s="8" t="n">
        <v>14</v>
      </c>
      <c r="B173" s="16" t="inlineStr">
        <is>
          <t>Создание информационного центра проекта</t>
        </is>
      </c>
      <c r="C173" s="17" t="n">
        <v>3</v>
      </c>
      <c r="D173" s="17" t="n">
        <v>3</v>
      </c>
      <c r="E173" s="17" t="n">
        <v>3</v>
      </c>
      <c r="F173" s="17" t="n">
        <v>3</v>
      </c>
      <c r="G173" s="17" t="n">
        <v>3</v>
      </c>
      <c r="H173" s="17" t="n">
        <v>3</v>
      </c>
    </row>
    <row r="174">
      <c r="A174" s="8" t="n">
        <v>15</v>
      </c>
      <c r="B174" s="16" t="inlineStr">
        <is>
          <t>Создание эталонного участка</t>
        </is>
      </c>
      <c r="C174" s="17" t="n">
        <v>4</v>
      </c>
      <c r="D174" s="17" t="n">
        <v>4</v>
      </c>
      <c r="E174" s="17" t="n">
        <v>4</v>
      </c>
      <c r="F174" s="17" t="n">
        <v>4</v>
      </c>
      <c r="G174" s="17" t="n">
        <v>3</v>
      </c>
      <c r="H174" s="17" t="n">
        <v>4</v>
      </c>
    </row>
    <row r="175">
      <c r="A175" s="8" t="n">
        <v>16</v>
      </c>
      <c r="B175" s="16" t="inlineStr">
        <is>
          <t>Проведение оценки уровня развития производственной системы предприятия</t>
        </is>
      </c>
      <c r="C175" s="17" t="n">
        <v>3</v>
      </c>
      <c r="D175" s="17" t="n">
        <v>2</v>
      </c>
      <c r="E175" s="17" t="n">
        <v>3</v>
      </c>
      <c r="F175" s="17" t="n">
        <v>3</v>
      </c>
      <c r="G175" s="17" t="n">
        <v>4</v>
      </c>
      <c r="H175" s="17" t="n">
        <v>3</v>
      </c>
    </row>
    <row r="176">
      <c r="A176" s="8" t="n">
        <v>17</v>
      </c>
      <c r="B176" s="16" t="inlineStr">
        <is>
          <t>Внедрение информационных центров</t>
        </is>
      </c>
      <c r="C176" s="17" t="n">
        <v>3</v>
      </c>
      <c r="D176" s="17" t="n">
        <v>3</v>
      </c>
      <c r="E176" s="17" t="n">
        <v>2</v>
      </c>
      <c r="F176" s="17" t="n">
        <v>3</v>
      </c>
      <c r="G176" s="17" t="n">
        <v>3</v>
      </c>
      <c r="H176" s="17" t="n">
        <v>4</v>
      </c>
    </row>
    <row r="177">
      <c r="A177" s="8" t="n">
        <v>18</v>
      </c>
      <c r="B177" s="16" t="inlineStr">
        <is>
          <t>Подготовка к проведению тренингов</t>
        </is>
      </c>
      <c r="C177" s="17" t="n">
        <v>3</v>
      </c>
      <c r="D177" s="17" t="n">
        <v>4</v>
      </c>
      <c r="E177" s="17" t="n">
        <v>3</v>
      </c>
      <c r="F177" s="17" t="n">
        <v>3</v>
      </c>
      <c r="G177" s="17" t="n">
        <v>3</v>
      </c>
      <c r="H177" s="17" t="n">
        <v>3</v>
      </c>
    </row>
    <row r="178">
      <c r="A178" s="8" t="n">
        <v>19</v>
      </c>
      <c r="B178" s="16" t="inlineStr">
        <is>
          <t>Проведение тренингов по Бережливому производству</t>
        </is>
      </c>
      <c r="C178" s="17" t="n">
        <v>3</v>
      </c>
      <c r="D178" s="17" t="n">
        <v>2</v>
      </c>
      <c r="E178" s="17" t="n">
        <v>3</v>
      </c>
      <c r="F178" s="17" t="n">
        <v>3</v>
      </c>
      <c r="G178" s="17" t="n">
        <v>2</v>
      </c>
      <c r="H178" s="17" t="n">
        <v>4</v>
      </c>
    </row>
    <row r="179">
      <c r="A179" s="8" t="n">
        <v>20</v>
      </c>
      <c r="B179" s="16" t="inlineStr">
        <is>
          <t>Мониторинг проводимого обучения</t>
        </is>
      </c>
      <c r="C179" s="17" t="n">
        <v>3</v>
      </c>
      <c r="D179" s="17" t="n">
        <v>3</v>
      </c>
      <c r="E179" s="17" t="n">
        <v>2</v>
      </c>
      <c r="F179" s="17" t="n">
        <v>3</v>
      </c>
      <c r="G179" s="17" t="n">
        <v>3</v>
      </c>
      <c r="H179" s="17" t="n">
        <v>3</v>
      </c>
    </row>
    <row r="180">
      <c r="A180" s="8" t="n">
        <v>21</v>
      </c>
      <c r="B180" s="16" t="inlineStr">
        <is>
          <t>Картирование потоков и «Диаграмма спагетти»</t>
        </is>
      </c>
      <c r="C180" s="17" t="n">
        <v>4</v>
      </c>
      <c r="D180" s="17" t="n">
        <v>3</v>
      </c>
      <c r="E180" s="17" t="n">
        <v>3</v>
      </c>
      <c r="F180" s="17" t="n">
        <v>3</v>
      </c>
      <c r="G180" s="17" t="n">
        <v>3</v>
      </c>
      <c r="H180" s="17" t="n">
        <v>3</v>
      </c>
    </row>
    <row r="181">
      <c r="A181" s="8" t="n">
        <v>22</v>
      </c>
      <c r="B181" s="16" t="inlineStr">
        <is>
          <t>Производственный анализ</t>
        </is>
      </c>
      <c r="C181" s="17" t="n">
        <v>1</v>
      </c>
      <c r="D181" s="17" t="n">
        <v>1</v>
      </c>
      <c r="E181" s="17" t="n">
        <v>2</v>
      </c>
      <c r="F181" s="17" t="n">
        <v>3</v>
      </c>
      <c r="G181" s="17" t="n">
        <v>1</v>
      </c>
      <c r="H181" s="17" t="n">
        <v>3</v>
      </c>
    </row>
    <row r="182">
      <c r="A182" s="8" t="n">
        <v>23</v>
      </c>
      <c r="B182" s="16" t="inlineStr">
        <is>
          <t>Поток единичных изделий</t>
        </is>
      </c>
      <c r="C182" s="17" t="n">
        <v>4</v>
      </c>
      <c r="D182" s="17" t="n">
        <v>3</v>
      </c>
      <c r="E182" s="17" t="n">
        <v>2</v>
      </c>
      <c r="F182" s="17" t="n">
        <v>3</v>
      </c>
      <c r="G182" s="17" t="n">
        <v>3</v>
      </c>
      <c r="H182" s="17" t="n">
        <v>3</v>
      </c>
    </row>
    <row r="183">
      <c r="A183" s="8" t="n">
        <v>24</v>
      </c>
      <c r="B183" s="16" t="inlineStr">
        <is>
          <t>Система «Канбан»</t>
        </is>
      </c>
      <c r="C183" s="17" t="n">
        <v>2</v>
      </c>
      <c r="D183" s="17" t="n">
        <v>2</v>
      </c>
      <c r="E183" s="17" t="n">
        <v>2</v>
      </c>
      <c r="F183" s="17" t="n">
        <v>2</v>
      </c>
      <c r="G183" s="17" t="n">
        <v>1</v>
      </c>
      <c r="H183" s="17" t="n">
        <v>3</v>
      </c>
    </row>
    <row r="184">
      <c r="A184" s="8" t="n">
        <v>25</v>
      </c>
      <c r="B184" s="16" t="inlineStr">
        <is>
          <t>Стандартизированная работа</t>
        </is>
      </c>
      <c r="C184" s="17" t="n">
        <v>3</v>
      </c>
      <c r="D184" s="17" t="n">
        <v>3</v>
      </c>
      <c r="E184" s="17" t="n">
        <v>3</v>
      </c>
      <c r="F184" s="17" t="n">
        <v>3</v>
      </c>
      <c r="G184" s="17" t="n">
        <v>3</v>
      </c>
      <c r="H184" s="17" t="n">
        <v>3</v>
      </c>
    </row>
    <row r="185">
      <c r="A185" s="8" t="n">
        <v>26</v>
      </c>
      <c r="B185" s="16" t="inlineStr">
        <is>
          <t>Методы поиска первопричин и решения проблем</t>
        </is>
      </c>
      <c r="C185" s="17" t="n">
        <v>1</v>
      </c>
      <c r="D185" s="17" t="n">
        <v>3</v>
      </c>
      <c r="E185" s="17" t="n">
        <v>3</v>
      </c>
      <c r="F185" s="17" t="n">
        <v>2</v>
      </c>
      <c r="G185" s="17" t="n">
        <v>3</v>
      </c>
      <c r="H185" s="17" t="n">
        <v>4</v>
      </c>
    </row>
    <row r="186">
      <c r="A186" s="8" t="n">
        <v>27</v>
      </c>
      <c r="B186" s="16" t="inlineStr">
        <is>
          <t>Быстрая переналадка (SMED)</t>
        </is>
      </c>
      <c r="C186" s="17" t="n">
        <v>4</v>
      </c>
      <c r="D186" s="17" t="n">
        <v>3</v>
      </c>
      <c r="E186" s="17" t="n">
        <v>2</v>
      </c>
      <c r="F186" s="17" t="n">
        <v>3</v>
      </c>
      <c r="G186" s="17" t="n">
        <v>3</v>
      </c>
      <c r="H186" s="17" t="n">
        <v>3</v>
      </c>
    </row>
    <row r="187">
      <c r="A187" s="8" t="n">
        <v>28</v>
      </c>
      <c r="B187" s="16" t="inlineStr">
        <is>
          <t>«Poka-Yoke» (защита от ошибок)</t>
        </is>
      </c>
      <c r="C187" s="17" t="n">
        <v>2</v>
      </c>
      <c r="D187" s="17" t="n">
        <v>1</v>
      </c>
      <c r="E187" s="17" t="n">
        <v>3</v>
      </c>
      <c r="F187" s="17" t="n">
        <v>2</v>
      </c>
      <c r="G187" s="17" t="n">
        <v>3</v>
      </c>
      <c r="H187" s="17" t="n">
        <v>1</v>
      </c>
    </row>
    <row r="188">
      <c r="A188" s="8" t="n">
        <v>29</v>
      </c>
      <c r="B188" s="16" t="inlineStr">
        <is>
          <t>5С на производстве и в офисе</t>
        </is>
      </c>
      <c r="C188" s="17" t="n">
        <v>3</v>
      </c>
      <c r="D188" s="17" t="n">
        <v>3</v>
      </c>
      <c r="E188" s="17" t="n">
        <v>2</v>
      </c>
      <c r="F188" s="17" t="n">
        <v>2</v>
      </c>
      <c r="G188" s="17" t="n">
        <v>3</v>
      </c>
      <c r="H188" s="17" t="n">
        <v>3</v>
      </c>
    </row>
    <row r="189">
      <c r="A189" s="8" t="n">
        <v>30</v>
      </c>
      <c r="B189" s="16" t="inlineStr">
        <is>
          <t>ОЕЕ — анализ эффективности оборудования</t>
        </is>
      </c>
      <c r="C189" s="17" t="n">
        <v>3</v>
      </c>
      <c r="D189" s="17" t="n">
        <v>3</v>
      </c>
      <c r="E189" s="17" t="n">
        <v>3</v>
      </c>
      <c r="F189" s="17" t="n">
        <v>2</v>
      </c>
      <c r="G189" s="17" t="n">
        <v>3</v>
      </c>
      <c r="H189" s="17" t="n">
        <v>4</v>
      </c>
    </row>
    <row r="190">
      <c r="A190" s="8" t="n">
        <v>31</v>
      </c>
      <c r="B190" s="16" t="inlineStr">
        <is>
          <t>Автономное обслуживание оборудования</t>
        </is>
      </c>
      <c r="C190" s="17" t="n">
        <v>3</v>
      </c>
      <c r="D190" s="17" t="n">
        <v>3</v>
      </c>
      <c r="E190" s="17" t="n">
        <v>2</v>
      </c>
      <c r="F190" s="17" t="n">
        <v>3</v>
      </c>
      <c r="G190" s="17" t="n">
        <v>3</v>
      </c>
      <c r="H190" s="17" t="n">
        <v>3</v>
      </c>
    </row>
    <row r="191">
      <c r="A191" s="8" t="n">
        <v>32</v>
      </c>
      <c r="B191" s="16" t="inlineStr">
        <is>
          <t>Управление запасами</t>
        </is>
      </c>
      <c r="C191" s="17" t="n">
        <v>3</v>
      </c>
      <c r="D191" s="17" t="n">
        <v>4</v>
      </c>
      <c r="E191" s="17" t="n">
        <v>3</v>
      </c>
      <c r="F191" s="17" t="n">
        <v>4</v>
      </c>
      <c r="G191" s="17" t="n">
        <v>4</v>
      </c>
      <c r="H191" s="17" t="n">
        <v>3</v>
      </c>
    </row>
    <row r="192">
      <c r="A192" s="8" t="n">
        <v>33</v>
      </c>
      <c r="B192" s="16" t="inlineStr">
        <is>
          <t>Сбор и проверка данных от предприятий-участников, выработка корректирующих мероприятий</t>
        </is>
      </c>
      <c r="C192" s="17" t="n">
        <v>2</v>
      </c>
      <c r="D192" s="17" t="n">
        <v>2</v>
      </c>
      <c r="E192" s="17" t="n">
        <v>3</v>
      </c>
      <c r="F192" s="17" t="n">
        <v>3</v>
      </c>
      <c r="G192" s="17" t="n">
        <v>2</v>
      </c>
      <c r="H192" s="17" t="n">
        <v>4</v>
      </c>
    </row>
    <row r="193">
      <c r="A193" s="8" t="n">
        <v>34</v>
      </c>
      <c r="B193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93" s="17" t="n">
        <v>2</v>
      </c>
      <c r="D193" s="17" t="n">
        <v>3</v>
      </c>
      <c r="E193" s="17" t="n">
        <v>4</v>
      </c>
      <c r="F193" s="17" t="n">
        <v>3</v>
      </c>
      <c r="G193" s="17" t="n">
        <v>2</v>
      </c>
      <c r="H193" s="17" t="n">
        <v>3</v>
      </c>
    </row>
    <row r="194">
      <c r="A194" s="8" t="n">
        <v>35</v>
      </c>
      <c r="B194" s="16" t="inlineStr">
        <is>
          <t>Поиск и распространение лучших практик по производительности труда</t>
        </is>
      </c>
      <c r="C194" s="17" t="n">
        <v>3</v>
      </c>
      <c r="D194" s="17" t="n">
        <v>3</v>
      </c>
      <c r="E194" s="17" t="n">
        <v>4</v>
      </c>
      <c r="F194" s="17" t="n">
        <v>3</v>
      </c>
      <c r="G194" s="17" t="n">
        <v>3</v>
      </c>
      <c r="H194" s="17" t="n">
        <v>3</v>
      </c>
    </row>
    <row r="195">
      <c r="A195" s="8" t="n">
        <v>36</v>
      </c>
      <c r="B195" s="16" t="inlineStr">
        <is>
          <t>Организация работы с предложениями по улучшению (ППУ)</t>
        </is>
      </c>
      <c r="C195" s="17" t="n">
        <v>3</v>
      </c>
      <c r="D195" s="17" t="n">
        <v>3</v>
      </c>
      <c r="E195" s="17" t="n">
        <v>4</v>
      </c>
      <c r="F195" s="17" t="n">
        <v>3</v>
      </c>
      <c r="G195" s="17" t="n">
        <v>4</v>
      </c>
      <c r="H195" s="17" t="n">
        <v>3</v>
      </c>
    </row>
    <row r="196">
      <c r="A196" s="8" t="n">
        <v>37</v>
      </c>
      <c r="B196" s="16" t="inlineStr">
        <is>
          <t>Ведение мониторинга проектов в подсистеме «Совместная работа» на ИТ-платформе</t>
        </is>
      </c>
      <c r="C196" s="17" t="n">
        <v>3</v>
      </c>
      <c r="D196" s="17" t="n">
        <v>3</v>
      </c>
      <c r="E196" s="17" t="n">
        <v>3</v>
      </c>
      <c r="F196" s="17" t="n">
        <v>3</v>
      </c>
      <c r="G196" s="17" t="n">
        <v>3</v>
      </c>
      <c r="H196" s="17" t="n">
        <v>4</v>
      </c>
    </row>
    <row r="198" ht="20" customHeight="1">
      <c r="A198" s="18" t="inlineStr">
        <is>
          <t>РП-6 — Неробеева А. Э. (ДЕМО)</t>
        </is>
      </c>
    </row>
    <row r="199">
      <c r="A199" s="8" t="n">
        <v>1</v>
      </c>
      <c r="B199" s="16" t="inlineStr">
        <is>
          <t>Проведение оценки на соответствие предприятия обязательным критериям</t>
        </is>
      </c>
      <c r="C199" s="17" t="n">
        <v>4</v>
      </c>
      <c r="D199" s="17" t="n">
        <v>4</v>
      </c>
      <c r="E199" s="17" t="n">
        <v>4</v>
      </c>
      <c r="F199" s="17" t="n">
        <v>4</v>
      </c>
      <c r="G199" s="17" t="n">
        <v>4</v>
      </c>
      <c r="H199" s="17" t="n">
        <v>5</v>
      </c>
    </row>
    <row r="200">
      <c r="A200" s="8" t="n">
        <v>2</v>
      </c>
      <c r="B200" s="16" t="inlineStr">
        <is>
          <t>Проведение оценки готовности руководства предприятия к участию в проекте (интервью)</t>
        </is>
      </c>
      <c r="C200" s="17" t="n">
        <v>3</v>
      </c>
      <c r="D200" s="17" t="n">
        <v>4</v>
      </c>
      <c r="E200" s="17" t="n">
        <v>4</v>
      </c>
      <c r="F200" s="17" t="n">
        <v>4</v>
      </c>
      <c r="G200" s="17" t="n">
        <v>4</v>
      </c>
      <c r="H200" s="17" t="n">
        <v>4</v>
      </c>
    </row>
    <row r="201">
      <c r="A201" s="8" t="n">
        <v>3</v>
      </c>
      <c r="B201" s="16" t="inlineStr">
        <is>
          <t>Проведение визуальной оценки производственного процесса на предприятии (визит на площадку)</t>
        </is>
      </c>
      <c r="C201" s="17" t="n">
        <v>4</v>
      </c>
      <c r="D201" s="17" t="n">
        <v>4</v>
      </c>
      <c r="E201" s="17" t="n">
        <v>4</v>
      </c>
      <c r="F201" s="17" t="n">
        <v>4</v>
      </c>
      <c r="G201" s="17" t="n">
        <v>4</v>
      </c>
      <c r="H201" s="17" t="n">
        <v>3</v>
      </c>
    </row>
    <row r="202">
      <c r="A202" s="8" t="n">
        <v>4</v>
      </c>
      <c r="B202" s="16" t="inlineStr">
        <is>
          <t>Вовлечение руководства предприятий в федеральный проект</t>
        </is>
      </c>
      <c r="C202" s="17" t="n">
        <v>3</v>
      </c>
      <c r="D202" s="17" t="n">
        <v>4</v>
      </c>
      <c r="E202" s="17" t="n">
        <v>5</v>
      </c>
      <c r="F202" s="17" t="n">
        <v>3</v>
      </c>
      <c r="G202" s="17" t="n">
        <v>3</v>
      </c>
      <c r="H202" s="17" t="n">
        <v>4</v>
      </c>
    </row>
    <row r="203">
      <c r="A203" s="8" t="n">
        <v>5</v>
      </c>
      <c r="B203" s="16" t="inlineStr">
        <is>
          <t>Подписание соглашения о сотрудничестве между РЦК и предприятием</t>
        </is>
      </c>
      <c r="C203" s="17" t="n">
        <v>4</v>
      </c>
      <c r="D203" s="17" t="n">
        <v>3</v>
      </c>
      <c r="E203" s="17" t="n">
        <v>4</v>
      </c>
      <c r="F203" s="17" t="n">
        <v>4</v>
      </c>
      <c r="G203" s="17" t="n">
        <v>4</v>
      </c>
      <c r="H203" s="17" t="n">
        <v>4</v>
      </c>
    </row>
    <row r="204">
      <c r="A204" s="8" t="n">
        <v>6</v>
      </c>
      <c r="B204" s="16" t="inlineStr">
        <is>
          <t>Реализация организационных вех программы</t>
        </is>
      </c>
      <c r="C204" s="17" t="n">
        <v>4</v>
      </c>
      <c r="D204" s="17" t="n">
        <v>4</v>
      </c>
      <c r="E204" s="17" t="n">
        <v>4</v>
      </c>
      <c r="F204" s="17" t="n">
        <v>5</v>
      </c>
      <c r="G204" s="17" t="n">
        <v>5</v>
      </c>
      <c r="H204" s="17" t="n">
        <v>4</v>
      </c>
    </row>
    <row r="205">
      <c r="A205" s="8" t="n">
        <v>7</v>
      </c>
      <c r="B205" s="16" t="inlineStr">
        <is>
          <t>Формирование проектного офиса</t>
        </is>
      </c>
      <c r="C205" s="17" t="n">
        <v>4</v>
      </c>
      <c r="D205" s="17" t="n">
        <v>4</v>
      </c>
      <c r="E205" s="17" t="n">
        <v>4</v>
      </c>
      <c r="F205" s="17" t="n">
        <v>4</v>
      </c>
      <c r="G205" s="17" t="n">
        <v>4</v>
      </c>
      <c r="H205" s="17" t="n">
        <v>4</v>
      </c>
    </row>
    <row r="206">
      <c r="A206" s="8" t="n">
        <v>8</v>
      </c>
      <c r="B206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06" s="17" t="n">
        <v>3</v>
      </c>
      <c r="D206" s="17" t="n">
        <v>4</v>
      </c>
      <c r="E206" s="17" t="n">
        <v>4</v>
      </c>
      <c r="F206" s="17" t="n">
        <v>3</v>
      </c>
      <c r="G206" s="17" t="n">
        <v>5</v>
      </c>
      <c r="H206" s="17" t="n">
        <v>4</v>
      </c>
    </row>
    <row r="207">
      <c r="A207" s="8" t="n">
        <v>9</v>
      </c>
      <c r="B207" s="16" t="inlineStr">
        <is>
          <t>Выявление степени готовности предприятия к изменениям</t>
        </is>
      </c>
      <c r="C207" s="17" t="n">
        <v>3</v>
      </c>
      <c r="D207" s="17" t="n">
        <v>4</v>
      </c>
      <c r="E207" s="17" t="n">
        <v>4</v>
      </c>
      <c r="F207" s="17" t="n">
        <v>4</v>
      </c>
      <c r="G207" s="17" t="n">
        <v>5</v>
      </c>
      <c r="H207" s="17" t="n">
        <v>3</v>
      </c>
    </row>
    <row r="208">
      <c r="A208" s="8" t="n">
        <v>10</v>
      </c>
      <c r="B208" s="16" t="inlineStr">
        <is>
          <t>Составление плана ключевых событий</t>
        </is>
      </c>
      <c r="C208" s="17" t="n">
        <v>4</v>
      </c>
      <c r="D208" s="17" t="n">
        <v>5</v>
      </c>
      <c r="E208" s="17" t="n">
        <v>4</v>
      </c>
      <c r="F208" s="17" t="n">
        <v>3</v>
      </c>
      <c r="G208" s="17" t="n">
        <v>4</v>
      </c>
      <c r="H208" s="17" t="n">
        <v>5</v>
      </c>
    </row>
    <row r="209">
      <c r="A209" s="8" t="n">
        <v>11</v>
      </c>
      <c r="B209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09" s="17" t="n">
        <v>4</v>
      </c>
      <c r="D209" s="17" t="n">
        <v>4</v>
      </c>
      <c r="E209" s="17" t="n">
        <v>4</v>
      </c>
      <c r="F209" s="17" t="n">
        <v>4</v>
      </c>
      <c r="G209" s="17" t="n">
        <v>4</v>
      </c>
      <c r="H209" s="17" t="n">
        <v>4</v>
      </c>
    </row>
    <row r="210">
      <c r="A210" s="8" t="n">
        <v>12</v>
      </c>
      <c r="B210" s="16" t="inlineStr">
        <is>
          <t>Проведение анализа показателей проектов повышения производительности труда</t>
        </is>
      </c>
      <c r="C210" s="17" t="n">
        <v>4</v>
      </c>
      <c r="D210" s="17" t="n">
        <v>4</v>
      </c>
      <c r="E210" s="17" t="n">
        <v>4</v>
      </c>
      <c r="F210" s="17" t="n">
        <v>4</v>
      </c>
      <c r="G210" s="17" t="n">
        <v>4</v>
      </c>
      <c r="H210" s="17" t="n">
        <v>4</v>
      </c>
    </row>
    <row r="211">
      <c r="A211" s="8" t="n">
        <v>13</v>
      </c>
      <c r="B211" s="16" t="inlineStr">
        <is>
          <t>Создание карточки проекта</t>
        </is>
      </c>
      <c r="C211" s="17" t="n">
        <v>4</v>
      </c>
      <c r="D211" s="17" t="n">
        <v>4</v>
      </c>
      <c r="E211" s="17" t="n">
        <v>4</v>
      </c>
      <c r="F211" s="17" t="n">
        <v>3</v>
      </c>
      <c r="G211" s="17" t="n">
        <v>4</v>
      </c>
      <c r="H211" s="17" t="n">
        <v>4</v>
      </c>
    </row>
    <row r="212">
      <c r="A212" s="8" t="n">
        <v>14</v>
      </c>
      <c r="B212" s="16" t="inlineStr">
        <is>
          <t>Создание информационного центра проекта</t>
        </is>
      </c>
      <c r="C212" s="17" t="n">
        <v>4</v>
      </c>
      <c r="D212" s="17" t="n">
        <v>4</v>
      </c>
      <c r="E212" s="17" t="n">
        <v>4</v>
      </c>
      <c r="F212" s="17" t="n">
        <v>4</v>
      </c>
      <c r="G212" s="17" t="n">
        <v>5</v>
      </c>
      <c r="H212" s="17" t="n">
        <v>3</v>
      </c>
    </row>
    <row r="213">
      <c r="A213" s="8" t="n">
        <v>15</v>
      </c>
      <c r="B213" s="16" t="inlineStr">
        <is>
          <t>Создание эталонного участка</t>
        </is>
      </c>
      <c r="C213" s="17" t="n">
        <v>4</v>
      </c>
      <c r="D213" s="17" t="n">
        <v>5</v>
      </c>
      <c r="E213" s="17" t="n">
        <v>5</v>
      </c>
      <c r="F213" s="17" t="n">
        <v>4</v>
      </c>
      <c r="G213" s="17" t="n">
        <v>5</v>
      </c>
      <c r="H213" s="17" t="n">
        <v>4</v>
      </c>
    </row>
    <row r="214">
      <c r="A214" s="8" t="n">
        <v>16</v>
      </c>
      <c r="B214" s="16" t="inlineStr">
        <is>
          <t>Проведение оценки уровня развития производственной системы предприятия</t>
        </is>
      </c>
      <c r="C214" s="17" t="n">
        <v>4</v>
      </c>
      <c r="D214" s="17" t="n">
        <v>4</v>
      </c>
      <c r="E214" s="17" t="n">
        <v>4</v>
      </c>
      <c r="F214" s="17" t="n">
        <v>4</v>
      </c>
      <c r="G214" s="17" t="n">
        <v>4</v>
      </c>
      <c r="H214" s="17" t="n">
        <v>4</v>
      </c>
    </row>
    <row r="215">
      <c r="A215" s="8" t="n">
        <v>17</v>
      </c>
      <c r="B215" s="16" t="inlineStr">
        <is>
          <t>Внедрение информационных центров</t>
        </is>
      </c>
      <c r="C215" s="17" t="n">
        <v>4</v>
      </c>
      <c r="D215" s="17" t="n">
        <v>4</v>
      </c>
      <c r="E215" s="17" t="n">
        <v>4</v>
      </c>
      <c r="F215" s="17" t="n">
        <v>4</v>
      </c>
      <c r="G215" s="17" t="n">
        <v>4</v>
      </c>
      <c r="H215" s="17" t="n">
        <v>4</v>
      </c>
    </row>
    <row r="216">
      <c r="A216" s="8" t="n">
        <v>18</v>
      </c>
      <c r="B216" s="16" t="inlineStr">
        <is>
          <t>Подготовка к проведению тренингов</t>
        </is>
      </c>
      <c r="C216" s="17" t="n">
        <v>4</v>
      </c>
      <c r="D216" s="17" t="n">
        <v>4</v>
      </c>
      <c r="E216" s="17" t="n">
        <v>4</v>
      </c>
      <c r="F216" s="17" t="n">
        <v>4</v>
      </c>
      <c r="G216" s="17" t="n">
        <v>4</v>
      </c>
      <c r="H216" s="17" t="n">
        <v>4</v>
      </c>
    </row>
    <row r="217">
      <c r="A217" s="8" t="n">
        <v>19</v>
      </c>
      <c r="B217" s="16" t="inlineStr">
        <is>
          <t>Проведение тренингов по Бережливому производству</t>
        </is>
      </c>
      <c r="C217" s="17" t="n">
        <v>5</v>
      </c>
      <c r="D217" s="17" t="n">
        <v>4</v>
      </c>
      <c r="E217" s="17" t="n">
        <v>4</v>
      </c>
      <c r="F217" s="17" t="n">
        <v>4</v>
      </c>
      <c r="G217" s="17" t="n">
        <v>4</v>
      </c>
      <c r="H217" s="17" t="n">
        <v>4</v>
      </c>
    </row>
    <row r="218">
      <c r="A218" s="8" t="n">
        <v>20</v>
      </c>
      <c r="B218" s="16" t="inlineStr">
        <is>
          <t>Мониторинг проводимого обучения</t>
        </is>
      </c>
      <c r="C218" s="17" t="n">
        <v>3</v>
      </c>
      <c r="D218" s="17" t="n">
        <v>4</v>
      </c>
      <c r="E218" s="17" t="n">
        <v>4</v>
      </c>
      <c r="F218" s="17" t="n">
        <v>4</v>
      </c>
      <c r="G218" s="17" t="n">
        <v>4</v>
      </c>
      <c r="H218" s="17" t="n">
        <v>4</v>
      </c>
    </row>
    <row r="219">
      <c r="A219" s="8" t="n">
        <v>21</v>
      </c>
      <c r="B219" s="16" t="inlineStr">
        <is>
          <t>Картирование потоков и «Диаграмма спагетти»</t>
        </is>
      </c>
      <c r="C219" s="17" t="n">
        <v>4</v>
      </c>
      <c r="D219" s="17" t="n">
        <v>4</v>
      </c>
      <c r="E219" s="17" t="n">
        <v>4</v>
      </c>
      <c r="F219" s="17" t="n">
        <v>4</v>
      </c>
      <c r="G219" s="17" t="n">
        <v>4</v>
      </c>
      <c r="H219" s="17" t="n">
        <v>4</v>
      </c>
    </row>
    <row r="220">
      <c r="A220" s="8" t="n">
        <v>22</v>
      </c>
      <c r="B220" s="16" t="inlineStr">
        <is>
          <t>Производственный анализ</t>
        </is>
      </c>
      <c r="C220" s="17" t="n">
        <v>4</v>
      </c>
      <c r="D220" s="17" t="n">
        <v>5</v>
      </c>
      <c r="E220" s="17" t="n">
        <v>5</v>
      </c>
      <c r="F220" s="17" t="n">
        <v>4</v>
      </c>
      <c r="G220" s="17" t="n">
        <v>5</v>
      </c>
      <c r="H220" s="17" t="n">
        <v>5</v>
      </c>
    </row>
    <row r="221">
      <c r="A221" s="8" t="n">
        <v>23</v>
      </c>
      <c r="B221" s="16" t="inlineStr">
        <is>
          <t>Поток единичных изделий</t>
        </is>
      </c>
      <c r="C221" s="17" t="n">
        <v>4</v>
      </c>
      <c r="D221" s="17" t="n">
        <v>4</v>
      </c>
      <c r="E221" s="17" t="n">
        <v>4</v>
      </c>
      <c r="F221" s="17" t="n">
        <v>4</v>
      </c>
      <c r="G221" s="17" t="n">
        <v>4</v>
      </c>
      <c r="H221" s="17" t="n">
        <v>4</v>
      </c>
    </row>
    <row r="222">
      <c r="A222" s="8" t="n">
        <v>24</v>
      </c>
      <c r="B222" s="16" t="inlineStr">
        <is>
          <t>Система «Канбан»</t>
        </is>
      </c>
      <c r="C222" s="17" t="n">
        <v>4</v>
      </c>
      <c r="D222" s="17" t="n">
        <v>4</v>
      </c>
      <c r="E222" s="17" t="n">
        <v>4</v>
      </c>
      <c r="F222" s="17" t="n">
        <v>4</v>
      </c>
      <c r="G222" s="17" t="n">
        <v>4</v>
      </c>
      <c r="H222" s="17" t="n">
        <v>4</v>
      </c>
    </row>
    <row r="223">
      <c r="A223" s="8" t="n">
        <v>25</v>
      </c>
      <c r="B223" s="16" t="inlineStr">
        <is>
          <t>Стандартизированная работа</t>
        </is>
      </c>
      <c r="C223" s="17" t="n">
        <v>4</v>
      </c>
      <c r="D223" s="17" t="n">
        <v>5</v>
      </c>
      <c r="E223" s="17" t="n">
        <v>4</v>
      </c>
      <c r="F223" s="17" t="n">
        <v>4</v>
      </c>
      <c r="G223" s="17" t="n">
        <v>4</v>
      </c>
      <c r="H223" s="17" t="n">
        <v>3</v>
      </c>
    </row>
    <row r="224">
      <c r="A224" s="8" t="n">
        <v>26</v>
      </c>
      <c r="B224" s="16" t="inlineStr">
        <is>
          <t>Методы поиска первопричин и решения проблем</t>
        </is>
      </c>
      <c r="C224" s="17" t="n">
        <v>4</v>
      </c>
      <c r="D224" s="17" t="n">
        <v>4</v>
      </c>
      <c r="E224" s="17" t="n">
        <v>4</v>
      </c>
      <c r="F224" s="17" t="n">
        <v>4</v>
      </c>
      <c r="G224" s="17" t="n">
        <v>4</v>
      </c>
      <c r="H224" s="17" t="n">
        <v>5</v>
      </c>
    </row>
    <row r="225">
      <c r="A225" s="8" t="n">
        <v>27</v>
      </c>
      <c r="B225" s="16" t="inlineStr">
        <is>
          <t>Быстрая переналадка (SMED)</t>
        </is>
      </c>
      <c r="C225" s="17" t="n">
        <v>3</v>
      </c>
      <c r="D225" s="17" t="n">
        <v>4</v>
      </c>
      <c r="E225" s="17" t="n">
        <v>3</v>
      </c>
      <c r="F225" s="17" t="n">
        <v>3</v>
      </c>
      <c r="G225" s="17" t="n">
        <v>3</v>
      </c>
      <c r="H225" s="17" t="n">
        <v>3</v>
      </c>
    </row>
    <row r="226">
      <c r="A226" s="8" t="n">
        <v>28</v>
      </c>
      <c r="B226" s="16" t="inlineStr">
        <is>
          <t>«Poka-Yoke» (защита от ошибок)</t>
        </is>
      </c>
      <c r="C226" s="17" t="n">
        <v>4</v>
      </c>
      <c r="D226" s="17" t="n">
        <v>3</v>
      </c>
      <c r="E226" s="17" t="n">
        <v>4</v>
      </c>
      <c r="F226" s="17" t="n">
        <v>4</v>
      </c>
      <c r="G226" s="17" t="n">
        <v>3</v>
      </c>
      <c r="H226" s="17" t="n">
        <v>4</v>
      </c>
    </row>
    <row r="227">
      <c r="A227" s="8" t="n">
        <v>29</v>
      </c>
      <c r="B227" s="16" t="inlineStr">
        <is>
          <t>5С на производстве и в офисе</t>
        </is>
      </c>
      <c r="C227" s="17" t="n">
        <v>4</v>
      </c>
      <c r="D227" s="17" t="n">
        <v>3</v>
      </c>
      <c r="E227" s="17" t="n">
        <v>4</v>
      </c>
      <c r="F227" s="17" t="n">
        <v>3</v>
      </c>
      <c r="G227" s="17" t="n">
        <v>4</v>
      </c>
      <c r="H227" s="17" t="n">
        <v>3</v>
      </c>
    </row>
    <row r="228">
      <c r="A228" s="8" t="n">
        <v>30</v>
      </c>
      <c r="B228" s="16" t="inlineStr">
        <is>
          <t>ОЕЕ — анализ эффективности оборудования</t>
        </is>
      </c>
      <c r="C228" s="17" t="n">
        <v>4</v>
      </c>
      <c r="D228" s="17" t="n">
        <v>4</v>
      </c>
      <c r="E228" s="17" t="n">
        <v>4</v>
      </c>
      <c r="F228" s="17" t="n">
        <v>4</v>
      </c>
      <c r="G228" s="17" t="n">
        <v>4</v>
      </c>
      <c r="H228" s="17" t="n">
        <v>4</v>
      </c>
    </row>
    <row r="229">
      <c r="A229" s="8" t="n">
        <v>31</v>
      </c>
      <c r="B229" s="16" t="inlineStr">
        <is>
          <t>Автономное обслуживание оборудования</t>
        </is>
      </c>
      <c r="C229" s="17" t="n">
        <v>4</v>
      </c>
      <c r="D229" s="17" t="n">
        <v>4</v>
      </c>
      <c r="E229" s="17" t="n">
        <v>4</v>
      </c>
      <c r="F229" s="17" t="n">
        <v>3</v>
      </c>
      <c r="G229" s="17" t="n">
        <v>4</v>
      </c>
      <c r="H229" s="17" t="n">
        <v>4</v>
      </c>
    </row>
    <row r="230">
      <c r="A230" s="8" t="n">
        <v>32</v>
      </c>
      <c r="B230" s="16" t="inlineStr">
        <is>
          <t>Управление запасами</t>
        </is>
      </c>
      <c r="C230" s="17" t="n">
        <v>3</v>
      </c>
      <c r="D230" s="17" t="n">
        <v>4</v>
      </c>
      <c r="E230" s="17" t="n">
        <v>4</v>
      </c>
      <c r="F230" s="17" t="n">
        <v>4</v>
      </c>
      <c r="G230" s="17" t="n">
        <v>4</v>
      </c>
      <c r="H230" s="17" t="n">
        <v>4</v>
      </c>
    </row>
    <row r="231">
      <c r="A231" s="8" t="n">
        <v>33</v>
      </c>
      <c r="B231" s="16" t="inlineStr">
        <is>
          <t>Сбор и проверка данных от предприятий-участников, выработка корректирующих мероприятий</t>
        </is>
      </c>
      <c r="C231" s="17" t="n">
        <v>4</v>
      </c>
      <c r="D231" s="17" t="n">
        <v>4</v>
      </c>
      <c r="E231" s="17" t="n">
        <v>4</v>
      </c>
      <c r="F231" s="17" t="n">
        <v>4</v>
      </c>
      <c r="G231" s="17" t="n">
        <v>4</v>
      </c>
      <c r="H231" s="17" t="n">
        <v>4</v>
      </c>
    </row>
    <row r="232">
      <c r="A232" s="8" t="n">
        <v>34</v>
      </c>
      <c r="B232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232" s="17" t="n">
        <v>4</v>
      </c>
      <c r="D232" s="17" t="n">
        <v>5</v>
      </c>
      <c r="E232" s="17" t="n">
        <v>5</v>
      </c>
      <c r="F232" s="17" t="n">
        <v>5</v>
      </c>
      <c r="G232" s="17" t="n">
        <v>4</v>
      </c>
      <c r="H232" s="17" t="n">
        <v>5</v>
      </c>
    </row>
    <row r="233">
      <c r="A233" s="8" t="n">
        <v>35</v>
      </c>
      <c r="B233" s="16" t="inlineStr">
        <is>
          <t>Поиск и распространение лучших практик по производительности труда</t>
        </is>
      </c>
      <c r="C233" s="17" t="n">
        <v>3</v>
      </c>
      <c r="D233" s="17" t="n">
        <v>3</v>
      </c>
      <c r="E233" s="17" t="n">
        <v>3</v>
      </c>
      <c r="F233" s="17" t="n">
        <v>4</v>
      </c>
      <c r="G233" s="17" t="n">
        <v>4</v>
      </c>
      <c r="H233" s="17" t="n">
        <v>3</v>
      </c>
    </row>
    <row r="234">
      <c r="A234" s="8" t="n">
        <v>36</v>
      </c>
      <c r="B234" s="16" t="inlineStr">
        <is>
          <t>Организация работы с предложениями по улучшению (ППУ)</t>
        </is>
      </c>
      <c r="C234" s="17" t="n">
        <v>4</v>
      </c>
      <c r="D234" s="17" t="n">
        <v>5</v>
      </c>
      <c r="E234" s="17" t="n">
        <v>4</v>
      </c>
      <c r="F234" s="17" t="n">
        <v>3</v>
      </c>
      <c r="G234" s="17" t="n">
        <v>3</v>
      </c>
      <c r="H234" s="17" t="n">
        <v>3</v>
      </c>
    </row>
    <row r="235">
      <c r="A235" s="8" t="n">
        <v>37</v>
      </c>
      <c r="B235" s="16" t="inlineStr">
        <is>
          <t>Ведение мониторинга проектов в подсистеме «Совместная работа» на ИТ-платформе</t>
        </is>
      </c>
      <c r="C235" s="17" t="n">
        <v>3</v>
      </c>
      <c r="D235" s="17" t="n">
        <v>4</v>
      </c>
      <c r="E235" s="17" t="n">
        <v>4</v>
      </c>
      <c r="F235" s="17" t="n">
        <v>4</v>
      </c>
      <c r="G235" s="17" t="n">
        <v>3</v>
      </c>
      <c r="H235" s="17" t="n">
        <v>4</v>
      </c>
    </row>
  </sheetData>
  <mergeCells count="7">
    <mergeCell ref="A3:H3"/>
    <mergeCell ref="A81:H81"/>
    <mergeCell ref="A42:H42"/>
    <mergeCell ref="A1:H1"/>
    <mergeCell ref="A120:H120"/>
    <mergeCell ref="A159:H159"/>
    <mergeCell ref="A198:H198"/>
  </mergeCells>
  <dataValidations count="1">
    <dataValidation sqref="C4:H4 C5:H5 C6:H6 C7:H7 C8:H8 C9:H9 C10:H10 C11:H11 C12:H12 C13:H13 C14:H14 C15:H15 C16:H16 C17:H17 C18:H18 C19:H19 C20:H20 C21:H21 C22:H22 C23:H23 C24:H24 C25:H25 C26:H26 C27:H27 C28:H28 C29:H29 C30:H30 C31:H31 C32:H32 C33:H33 C34:H34 C35:H35 C36:H36 C37:H37 C38:H38 C39:H39 C40:H40 C43:H43 C44:H44 C45:H45 C46:H46 C47:H47 C48:H48 C49:H49 C50:H50 C51:H51 C52:H52 C53:H53 C54:H54 C55:H55 C56:H56 C57:H57 C58:H58 C59:H59 C60:H60 C61:H61 C62:H62 C63:H63 C64:H64 C65:H65 C66:H66 C67:H67 C68:H68 C69:H69 C70:H70 C71:H71 C72:H72 C73:H73 C74:H74 C75:H75 C76:H76 C77:H77 C78:H78 C79:H79 C82:H82 C83:H83 C84:H84 C85:H85 C86:H86 C87:H87 C88:H88 C89:H89 C90:H90 C91:H91 C92:H92 C93:H93 C94:H94 C95:H95 C96:H96 C97:H97 C98:H98 C99:H99 C100:H100 C101:H101 C102:H102 C103:H103 C104:H104 C105:H105 C106:H106 C107:H107 C108:H108 C109:H109 C110:H110 C111:H111 C112:H112 C113:H113 C114:H114 C115:H115 C116:H116 C117:H117 C118:H118 C121:H121 C122:H122 C123:H123 C124:H124 C125:H125 C126:H126 C127:H127 C128:H128 C129:H129 C130:H130 C131:H131 C132:H132 C133:H133 C134:H134 C135:H135 C136:H136 C137:H137 C138:H138 C139:H139 C140:H140 C141:H141 C142:H142 C143:H143 C144:H144 C145:H145 C146:H146 C147:H147 C148:H148 C149:H149 C150:H150 C151:H151 C152:H152 C153:H153 C154:H154 C155:H155 C156:H156 C157:H157 C160:H160 C161:H161 C162:H162 C163:H163 C164:H164 C165:H165 C166:H166 C167:H167 C168:H168 C169:H169 C170:H170 C171:H171 C172:H172 C173:H173 C174:H174 C175:H175 C176:H176 C177:H177 C178:H178 C179:H179 C180:H180 C181:H181 C182:H182 C183:H183 C184:H184 C185:H185 C186:H186 C187:H187 C188:H188 C189:H189 C190:H190 C191:H191 C192:H192 C193:H193 C194:H194 C195:H195 C196:H196 C199:H199 C200:H200 C201:H201 C202:H202 C203:H203 C204:H204 C205:H205 C206:H206 C207:H207 C208:H208 C209:H209 C210:H210 C211:H211 C212:H212 C213:H213 C214:H214 C215:H215 C216:H216 C217:H217 C218:H218 C219:H219 C220:H220 C221:H221 C222:H222 C223:H223 C224:H224 C225:H225 C226:H226 C227:H227 C228:H228 C229:H229 C230:H230 C231:H231 C232:H232 C233:H233 C234:H234 C235:H235" showDropDown="0" showInputMessage="1" showErrorMessage="1" allowBlank="1" errorTitle="Неверная оценка" error="Введите целое число от 1 до 5" promptTitle="Шкала 1–5" prompt="Оценка 1–5 (см. шкалу на листе «Инструкция»)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66" customWidth="1" min="2" max="2"/>
    <col width="9" customWidth="1" min="3" max="3"/>
    <col width="14" customWidth="1" min="4" max="4"/>
    <col width="16" customWidth="1" min="5" max="5"/>
    <col width="24" customWidth="1" min="6" max="6"/>
  </cols>
  <sheetData>
    <row r="1">
      <c r="A1" s="5" t="inlineStr">
        <is>
          <t>СВОДНАЯ ТАБЛИЦА РЕЗУЛЬТАТОВ 360 (считается автоматически из листа «Оценки»; данные — ДЕМО)</t>
        </is>
      </c>
    </row>
    <row r="2" ht="28" customHeight="1">
      <c r="A2" s="6" t="inlineStr">
        <is>
          <t>«Коллеги» = среднее по 5 коллегам. «Разрыв» = самооценка минус «Коллеги» (красный ≥ 0,5 — слепая зона). «Сигналы»: «низкий уровень» — средний балл коллег ниже 3. Цвет строки — группа «Действий» (см. «Компетенции»).</t>
        </is>
      </c>
    </row>
    <row r="3" ht="30" customHeight="1">
      <c r="A3" s="7" t="inlineStr">
        <is>
          <t>Руководитель проекта</t>
        </is>
      </c>
      <c r="B3" s="7" t="inlineStr">
        <is>
          <t>Компетенция (приложение № 3 МР)</t>
        </is>
      </c>
      <c r="C3" s="7" t="inlineStr">
        <is>
          <t>Себя</t>
        </is>
      </c>
      <c r="D3" s="7" t="inlineStr">
        <is>
          <t>Коллеги (ср.)</t>
        </is>
      </c>
      <c r="E3" s="7" t="inlineStr">
        <is>
          <t>Разрыв (себя − коллеги)</t>
        </is>
      </c>
      <c r="F3" s="7" t="inlineStr">
        <is>
          <t>Сигналы</t>
        </is>
      </c>
    </row>
    <row r="4">
      <c r="A4" s="19" t="inlineStr">
        <is>
          <t>РП-1 — Кущенко Д. А. (ДЕМО)</t>
        </is>
      </c>
      <c r="B4" s="9" t="inlineStr">
        <is>
          <t>Проведение оценки на соответствие предприятия обязательным критериям</t>
        </is>
      </c>
      <c r="C4" s="20">
        <f>IF('Оценки'!C4="","",'Оценки'!C4)</f>
        <v/>
      </c>
      <c r="D4" s="20">
        <f>IF(COUNT('Оценки'!D4:H4)=0,"",AVERAGE('Оценки'!D4:H4))</f>
        <v/>
      </c>
      <c r="E4" s="20">
        <f>IF(OR(C4="",D4=""),"",C4-D4)</f>
        <v/>
      </c>
      <c r="F4" s="19">
        <f>IF(E4="","",IF(E4&gt;=0.5,"⚠ переоценивает себя",IF(D4&lt;3,"низкий уровень","")))</f>
        <v/>
      </c>
    </row>
    <row r="5">
      <c r="A5" s="19" t="inlineStr">
        <is>
          <t>РП-1 — Кущенко Д. А. (ДЕМО)</t>
        </is>
      </c>
      <c r="B5" s="9" t="inlineStr">
        <is>
          <t>Проведение оценки готовности руководства предприятия к участию в проекте (интервью)</t>
        </is>
      </c>
      <c r="C5" s="20">
        <f>IF('Оценки'!C5="","",'Оценки'!C5)</f>
        <v/>
      </c>
      <c r="D5" s="20">
        <f>IF(COUNT('Оценки'!D5:H5)=0,"",AVERAGE('Оценки'!D5:H5))</f>
        <v/>
      </c>
      <c r="E5" s="20">
        <f>IF(OR(C5="",D5=""),"",C5-D5)</f>
        <v/>
      </c>
      <c r="F5" s="19">
        <f>IF(E5="","",IF(E5&gt;=0.5,"⚠ переоценивает себя",IF(D5&lt;3,"низкий уровень","")))</f>
        <v/>
      </c>
    </row>
    <row r="6">
      <c r="A6" s="19" t="inlineStr">
        <is>
          <t>РП-1 — Кущенко Д. А. (ДЕМО)</t>
        </is>
      </c>
      <c r="B6" s="9" t="inlineStr">
        <is>
          <t>Проведение визуальной оценки производственного процесса на предприятии (визит на площадку)</t>
        </is>
      </c>
      <c r="C6" s="20">
        <f>IF('Оценки'!C6="","",'Оценки'!C6)</f>
        <v/>
      </c>
      <c r="D6" s="20">
        <f>IF(COUNT('Оценки'!D6:H6)=0,"",AVERAGE('Оценки'!D6:H6))</f>
        <v/>
      </c>
      <c r="E6" s="20">
        <f>IF(OR(C6="",D6=""),"",C6-D6)</f>
        <v/>
      </c>
      <c r="F6" s="19">
        <f>IF(E6="","",IF(E6&gt;=0.5,"⚠ переоценивает себя",IF(D6&lt;3,"низкий уровень","")))</f>
        <v/>
      </c>
    </row>
    <row r="7">
      <c r="A7" s="19" t="inlineStr">
        <is>
          <t>РП-1 — Кущенко Д. А. (ДЕМО)</t>
        </is>
      </c>
      <c r="B7" s="9" t="inlineStr">
        <is>
          <t>Вовлечение руководства предприятий в федеральный проект</t>
        </is>
      </c>
      <c r="C7" s="20">
        <f>IF('Оценки'!C7="","",'Оценки'!C7)</f>
        <v/>
      </c>
      <c r="D7" s="20">
        <f>IF(COUNT('Оценки'!D7:H7)=0,"",AVERAGE('Оценки'!D7:H7))</f>
        <v/>
      </c>
      <c r="E7" s="20">
        <f>IF(OR(C7="",D7=""),"",C7-D7)</f>
        <v/>
      </c>
      <c r="F7" s="19">
        <f>IF(E7="","",IF(E7&gt;=0.5,"⚠ переоценивает себя",IF(D7&lt;3,"низкий уровень","")))</f>
        <v/>
      </c>
    </row>
    <row r="8">
      <c r="A8" s="19" t="inlineStr">
        <is>
          <t>РП-1 — Кущенко Д. А. (ДЕМО)</t>
        </is>
      </c>
      <c r="B8" s="9" t="inlineStr">
        <is>
          <t>Подписание соглашения о сотрудничестве между РЦК и предприятием</t>
        </is>
      </c>
      <c r="C8" s="20">
        <f>IF('Оценки'!C8="","",'Оценки'!C8)</f>
        <v/>
      </c>
      <c r="D8" s="20">
        <f>IF(COUNT('Оценки'!D8:H8)=0,"",AVERAGE('Оценки'!D8:H8))</f>
        <v/>
      </c>
      <c r="E8" s="20">
        <f>IF(OR(C8="",D8=""),"",C8-D8)</f>
        <v/>
      </c>
      <c r="F8" s="19">
        <f>IF(E8="","",IF(E8&gt;=0.5,"⚠ переоценивает себя",IF(D8&lt;3,"низкий уровень","")))</f>
        <v/>
      </c>
    </row>
    <row r="9">
      <c r="A9" s="19" t="inlineStr">
        <is>
          <t>РП-1 — Кущенко Д. А. (ДЕМО)</t>
        </is>
      </c>
      <c r="B9" s="11" t="inlineStr">
        <is>
          <t>Реализация организационных вех программы</t>
        </is>
      </c>
      <c r="C9" s="20">
        <f>IF('Оценки'!C9="","",'Оценки'!C9)</f>
        <v/>
      </c>
      <c r="D9" s="20">
        <f>IF(COUNT('Оценки'!D9:H9)=0,"",AVERAGE('Оценки'!D9:H9))</f>
        <v/>
      </c>
      <c r="E9" s="20">
        <f>IF(OR(C9="",D9=""),"",C9-D9)</f>
        <v/>
      </c>
      <c r="F9" s="19">
        <f>IF(E9="","",IF(E9&gt;=0.5,"⚠ переоценивает себя",IF(D9&lt;3,"низкий уровень","")))</f>
        <v/>
      </c>
    </row>
    <row r="10">
      <c r="A10" s="19" t="inlineStr">
        <is>
          <t>РП-1 — Кущенко Д. А. (ДЕМО)</t>
        </is>
      </c>
      <c r="B10" s="11" t="inlineStr">
        <is>
          <t>Формирование проектного офиса</t>
        </is>
      </c>
      <c r="C10" s="20">
        <f>IF('Оценки'!C10="","",'Оценки'!C10)</f>
        <v/>
      </c>
      <c r="D10" s="20">
        <f>IF(COUNT('Оценки'!D10:H10)=0,"",AVERAGE('Оценки'!D10:H10))</f>
        <v/>
      </c>
      <c r="E10" s="20">
        <f>IF(OR(C10="",D10=""),"",C10-D10)</f>
        <v/>
      </c>
      <c r="F10" s="19">
        <f>IF(E10="","",IF(E10&gt;=0.5,"⚠ переоценивает себя",IF(D10&lt;3,"низкий уровень","")))</f>
        <v/>
      </c>
    </row>
    <row r="11">
      <c r="A11" s="19" t="inlineStr">
        <is>
          <t>РП-1 — Кущенко Д. А. (ДЕМО)</t>
        </is>
      </c>
      <c r="B11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1" s="20">
        <f>IF('Оценки'!C11="","",'Оценки'!C11)</f>
        <v/>
      </c>
      <c r="D11" s="20">
        <f>IF(COUNT('Оценки'!D11:H11)=0,"",AVERAGE('Оценки'!D11:H11))</f>
        <v/>
      </c>
      <c r="E11" s="20">
        <f>IF(OR(C11="",D11=""),"",C11-D11)</f>
        <v/>
      </c>
      <c r="F11" s="19">
        <f>IF(E11="","",IF(E11&gt;=0.5,"⚠ переоценивает себя",IF(D11&lt;3,"низкий уровень","")))</f>
        <v/>
      </c>
    </row>
    <row r="12">
      <c r="A12" s="19" t="inlineStr">
        <is>
          <t>РП-1 — Кущенко Д. А. (ДЕМО)</t>
        </is>
      </c>
      <c r="B12" s="11" t="inlineStr">
        <is>
          <t>Выявление степени готовности предприятия к изменениям</t>
        </is>
      </c>
      <c r="C12" s="20">
        <f>IF('Оценки'!C12="","",'Оценки'!C12)</f>
        <v/>
      </c>
      <c r="D12" s="20">
        <f>IF(COUNT('Оценки'!D12:H12)=0,"",AVERAGE('Оценки'!D12:H12))</f>
        <v/>
      </c>
      <c r="E12" s="20">
        <f>IF(OR(C12="",D12=""),"",C12-D12)</f>
        <v/>
      </c>
      <c r="F12" s="19">
        <f>IF(E12="","",IF(E12&gt;=0.5,"⚠ переоценивает себя",IF(D12&lt;3,"низкий уровень","")))</f>
        <v/>
      </c>
    </row>
    <row r="13">
      <c r="A13" s="19" t="inlineStr">
        <is>
          <t>РП-1 — Кущенко Д. А. (ДЕМО)</t>
        </is>
      </c>
      <c r="B13" s="11" t="inlineStr">
        <is>
          <t>Составление плана ключевых событий</t>
        </is>
      </c>
      <c r="C13" s="20">
        <f>IF('Оценки'!C13="","",'Оценки'!C13)</f>
        <v/>
      </c>
      <c r="D13" s="20">
        <f>IF(COUNT('Оценки'!D13:H13)=0,"",AVERAGE('Оценки'!D13:H13))</f>
        <v/>
      </c>
      <c r="E13" s="20">
        <f>IF(OR(C13="",D13=""),"",C13-D13)</f>
        <v/>
      </c>
      <c r="F13" s="19">
        <f>IF(E13="","",IF(E13&gt;=0.5,"⚠ переоценивает себя",IF(D13&lt;3,"низкий уровень","")))</f>
        <v/>
      </c>
    </row>
    <row r="14">
      <c r="A14" s="19" t="inlineStr">
        <is>
          <t>РП-1 — Кущенко Д. А. (ДЕМО)</t>
        </is>
      </c>
      <c r="B14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4" s="20">
        <f>IF('Оценки'!C14="","",'Оценки'!C14)</f>
        <v/>
      </c>
      <c r="D14" s="20">
        <f>IF(COUNT('Оценки'!D14:H14)=0,"",AVERAGE('Оценки'!D14:H14))</f>
        <v/>
      </c>
      <c r="E14" s="20">
        <f>IF(OR(C14="",D14=""),"",C14-D14)</f>
        <v/>
      </c>
      <c r="F14" s="19">
        <f>IF(E14="","",IF(E14&gt;=0.5,"⚠ переоценивает себя",IF(D14&lt;3,"низкий уровень","")))</f>
        <v/>
      </c>
    </row>
    <row r="15">
      <c r="A15" s="19" t="inlineStr">
        <is>
          <t>РП-1 — Кущенко Д. А. (ДЕМО)</t>
        </is>
      </c>
      <c r="B15" s="11" t="inlineStr">
        <is>
          <t>Проведение анализа показателей проектов повышения производительности труда</t>
        </is>
      </c>
      <c r="C15" s="20">
        <f>IF('Оценки'!C15="","",'Оценки'!C15)</f>
        <v/>
      </c>
      <c r="D15" s="20">
        <f>IF(COUNT('Оценки'!D15:H15)=0,"",AVERAGE('Оценки'!D15:H15))</f>
        <v/>
      </c>
      <c r="E15" s="20">
        <f>IF(OR(C15="",D15=""),"",C15-D15)</f>
        <v/>
      </c>
      <c r="F15" s="19">
        <f>IF(E15="","",IF(E15&gt;=0.5,"⚠ переоценивает себя",IF(D15&lt;3,"низкий уровень","")))</f>
        <v/>
      </c>
    </row>
    <row r="16">
      <c r="A16" s="19" t="inlineStr">
        <is>
          <t>РП-1 — Кущенко Д. А. (ДЕМО)</t>
        </is>
      </c>
      <c r="B16" s="11" t="inlineStr">
        <is>
          <t>Создание карточки проекта</t>
        </is>
      </c>
      <c r="C16" s="20">
        <f>IF('Оценки'!C16="","",'Оценки'!C16)</f>
        <v/>
      </c>
      <c r="D16" s="20">
        <f>IF(COUNT('Оценки'!D16:H16)=0,"",AVERAGE('Оценки'!D16:H16))</f>
        <v/>
      </c>
      <c r="E16" s="20">
        <f>IF(OR(C16="",D16=""),"",C16-D16)</f>
        <v/>
      </c>
      <c r="F16" s="19">
        <f>IF(E16="","",IF(E16&gt;=0.5,"⚠ переоценивает себя",IF(D16&lt;3,"низкий уровень","")))</f>
        <v/>
      </c>
    </row>
    <row r="17">
      <c r="A17" s="19" t="inlineStr">
        <is>
          <t>РП-1 — Кущенко Д. А. (ДЕМО)</t>
        </is>
      </c>
      <c r="B17" s="11" t="inlineStr">
        <is>
          <t>Создание информационного центра проекта</t>
        </is>
      </c>
      <c r="C17" s="20">
        <f>IF('Оценки'!C17="","",'Оценки'!C17)</f>
        <v/>
      </c>
      <c r="D17" s="20">
        <f>IF(COUNT('Оценки'!D17:H17)=0,"",AVERAGE('Оценки'!D17:H17))</f>
        <v/>
      </c>
      <c r="E17" s="20">
        <f>IF(OR(C17="",D17=""),"",C17-D17)</f>
        <v/>
      </c>
      <c r="F17" s="19">
        <f>IF(E17="","",IF(E17&gt;=0.5,"⚠ переоценивает себя",IF(D17&lt;3,"низкий уровень","")))</f>
        <v/>
      </c>
    </row>
    <row r="18">
      <c r="A18" s="19" t="inlineStr">
        <is>
          <t>РП-1 — Кущенко Д. А. (ДЕМО)</t>
        </is>
      </c>
      <c r="B18" s="11" t="inlineStr">
        <is>
          <t>Создание эталонного участка</t>
        </is>
      </c>
      <c r="C18" s="20">
        <f>IF('Оценки'!C18="","",'Оценки'!C18)</f>
        <v/>
      </c>
      <c r="D18" s="20">
        <f>IF(COUNT('Оценки'!D18:H18)=0,"",AVERAGE('Оценки'!D18:H18))</f>
        <v/>
      </c>
      <c r="E18" s="20">
        <f>IF(OR(C18="",D18=""),"",C18-D18)</f>
        <v/>
      </c>
      <c r="F18" s="19">
        <f>IF(E18="","",IF(E18&gt;=0.5,"⚠ переоценивает себя",IF(D18&lt;3,"низкий уровень","")))</f>
        <v/>
      </c>
    </row>
    <row r="19">
      <c r="A19" s="19" t="inlineStr">
        <is>
          <t>РП-1 — Кущенко Д. А. (ДЕМО)</t>
        </is>
      </c>
      <c r="B19" s="11" t="inlineStr">
        <is>
          <t>Проведение оценки уровня развития производственной системы предприятия</t>
        </is>
      </c>
      <c r="C19" s="20">
        <f>IF('Оценки'!C19="","",'Оценки'!C19)</f>
        <v/>
      </c>
      <c r="D19" s="20">
        <f>IF(COUNT('Оценки'!D19:H19)=0,"",AVERAGE('Оценки'!D19:H19))</f>
        <v/>
      </c>
      <c r="E19" s="20">
        <f>IF(OR(C19="",D19=""),"",C19-D19)</f>
        <v/>
      </c>
      <c r="F19" s="19">
        <f>IF(E19="","",IF(E19&gt;=0.5,"⚠ переоценивает себя",IF(D19&lt;3,"низкий уровень","")))</f>
        <v/>
      </c>
    </row>
    <row r="20">
      <c r="A20" s="19" t="inlineStr">
        <is>
          <t>РП-1 — Кущенко Д. А. (ДЕМО)</t>
        </is>
      </c>
      <c r="B20" s="11" t="inlineStr">
        <is>
          <t>Внедрение информационных центров</t>
        </is>
      </c>
      <c r="C20" s="20">
        <f>IF('Оценки'!C20="","",'Оценки'!C20)</f>
        <v/>
      </c>
      <c r="D20" s="20">
        <f>IF(COUNT('Оценки'!D20:H20)=0,"",AVERAGE('Оценки'!D20:H20))</f>
        <v/>
      </c>
      <c r="E20" s="20">
        <f>IF(OR(C20="",D20=""),"",C20-D20)</f>
        <v/>
      </c>
      <c r="F20" s="19">
        <f>IF(E20="","",IF(E20&gt;=0.5,"⚠ переоценивает себя",IF(D20&lt;3,"низкий уровень","")))</f>
        <v/>
      </c>
    </row>
    <row r="21">
      <c r="A21" s="19" t="inlineStr">
        <is>
          <t>РП-1 — Кущенко Д. А. (ДЕМО)</t>
        </is>
      </c>
      <c r="B21" s="11" t="inlineStr">
        <is>
          <t>Подготовка к проведению тренингов</t>
        </is>
      </c>
      <c r="C21" s="20">
        <f>IF('Оценки'!C21="","",'Оценки'!C21)</f>
        <v/>
      </c>
      <c r="D21" s="20">
        <f>IF(COUNT('Оценки'!D21:H21)=0,"",AVERAGE('Оценки'!D21:H21))</f>
        <v/>
      </c>
      <c r="E21" s="20">
        <f>IF(OR(C21="",D21=""),"",C21-D21)</f>
        <v/>
      </c>
      <c r="F21" s="19">
        <f>IF(E21="","",IF(E21&gt;=0.5,"⚠ переоценивает себя",IF(D21&lt;3,"низкий уровень","")))</f>
        <v/>
      </c>
    </row>
    <row r="22">
      <c r="A22" s="19" t="inlineStr">
        <is>
          <t>РП-1 — Кущенко Д. А. (ДЕМО)</t>
        </is>
      </c>
      <c r="B22" s="11" t="inlineStr">
        <is>
          <t>Проведение тренингов по Бережливому производству</t>
        </is>
      </c>
      <c r="C22" s="20">
        <f>IF('Оценки'!C22="","",'Оценки'!C22)</f>
        <v/>
      </c>
      <c r="D22" s="20">
        <f>IF(COUNT('Оценки'!D22:H22)=0,"",AVERAGE('Оценки'!D22:H22))</f>
        <v/>
      </c>
      <c r="E22" s="20">
        <f>IF(OR(C22="",D22=""),"",C22-D22)</f>
        <v/>
      </c>
      <c r="F22" s="19">
        <f>IF(E22="","",IF(E22&gt;=0.5,"⚠ переоценивает себя",IF(D22&lt;3,"низкий уровень","")))</f>
        <v/>
      </c>
    </row>
    <row r="23">
      <c r="A23" s="19" t="inlineStr">
        <is>
          <t>РП-1 — Кущенко Д. А. (ДЕМО)</t>
        </is>
      </c>
      <c r="B23" s="11" t="inlineStr">
        <is>
          <t>Мониторинг проводимого обучения</t>
        </is>
      </c>
      <c r="C23" s="20">
        <f>IF('Оценки'!C23="","",'Оценки'!C23)</f>
        <v/>
      </c>
      <c r="D23" s="20">
        <f>IF(COUNT('Оценки'!D23:H23)=0,"",AVERAGE('Оценки'!D23:H23))</f>
        <v/>
      </c>
      <c r="E23" s="20">
        <f>IF(OR(C23="",D23=""),"",C23-D23)</f>
        <v/>
      </c>
      <c r="F23" s="19">
        <f>IF(E23="","",IF(E23&gt;=0.5,"⚠ переоценивает себя",IF(D23&lt;3,"низкий уровень","")))</f>
        <v/>
      </c>
    </row>
    <row r="24">
      <c r="A24" s="19" t="inlineStr">
        <is>
          <t>РП-1 — Кущенко Д. А. (ДЕМО)</t>
        </is>
      </c>
      <c r="B24" s="12" t="inlineStr">
        <is>
          <t>Картирование потоков и «Диаграмма спагетти»</t>
        </is>
      </c>
      <c r="C24" s="20">
        <f>IF('Оценки'!C24="","",'Оценки'!C24)</f>
        <v/>
      </c>
      <c r="D24" s="20">
        <f>IF(COUNT('Оценки'!D24:H24)=0,"",AVERAGE('Оценки'!D24:H24))</f>
        <v/>
      </c>
      <c r="E24" s="20">
        <f>IF(OR(C24="",D24=""),"",C24-D24)</f>
        <v/>
      </c>
      <c r="F24" s="19">
        <f>IF(E24="","",IF(E24&gt;=0.5,"⚠ переоценивает себя",IF(D24&lt;3,"низкий уровень","")))</f>
        <v/>
      </c>
    </row>
    <row r="25">
      <c r="A25" s="19" t="inlineStr">
        <is>
          <t>РП-1 — Кущенко Д. А. (ДЕМО)</t>
        </is>
      </c>
      <c r="B25" s="12" t="inlineStr">
        <is>
          <t>Производственный анализ</t>
        </is>
      </c>
      <c r="C25" s="20">
        <f>IF('Оценки'!C25="","",'Оценки'!C25)</f>
        <v/>
      </c>
      <c r="D25" s="20">
        <f>IF(COUNT('Оценки'!D25:H25)=0,"",AVERAGE('Оценки'!D25:H25))</f>
        <v/>
      </c>
      <c r="E25" s="20">
        <f>IF(OR(C25="",D25=""),"",C25-D25)</f>
        <v/>
      </c>
      <c r="F25" s="19">
        <f>IF(E25="","",IF(E25&gt;=0.5,"⚠ переоценивает себя",IF(D25&lt;3,"низкий уровень","")))</f>
        <v/>
      </c>
    </row>
    <row r="26">
      <c r="A26" s="19" t="inlineStr">
        <is>
          <t>РП-1 — Кущенко Д. А. (ДЕМО)</t>
        </is>
      </c>
      <c r="B26" s="12" t="inlineStr">
        <is>
          <t>Поток единичных изделий</t>
        </is>
      </c>
      <c r="C26" s="20">
        <f>IF('Оценки'!C26="","",'Оценки'!C26)</f>
        <v/>
      </c>
      <c r="D26" s="20">
        <f>IF(COUNT('Оценки'!D26:H26)=0,"",AVERAGE('Оценки'!D26:H26))</f>
        <v/>
      </c>
      <c r="E26" s="20">
        <f>IF(OR(C26="",D26=""),"",C26-D26)</f>
        <v/>
      </c>
      <c r="F26" s="19">
        <f>IF(E26="","",IF(E26&gt;=0.5,"⚠ переоценивает себя",IF(D26&lt;3,"низкий уровень","")))</f>
        <v/>
      </c>
    </row>
    <row r="27">
      <c r="A27" s="19" t="inlineStr">
        <is>
          <t>РП-1 — Кущенко Д. А. (ДЕМО)</t>
        </is>
      </c>
      <c r="B27" s="12" t="inlineStr">
        <is>
          <t>Система «Канбан»</t>
        </is>
      </c>
      <c r="C27" s="20">
        <f>IF('Оценки'!C27="","",'Оценки'!C27)</f>
        <v/>
      </c>
      <c r="D27" s="20">
        <f>IF(COUNT('Оценки'!D27:H27)=0,"",AVERAGE('Оценки'!D27:H27))</f>
        <v/>
      </c>
      <c r="E27" s="20">
        <f>IF(OR(C27="",D27=""),"",C27-D27)</f>
        <v/>
      </c>
      <c r="F27" s="19">
        <f>IF(E27="","",IF(E27&gt;=0.5,"⚠ переоценивает себя",IF(D27&lt;3,"низкий уровень","")))</f>
        <v/>
      </c>
    </row>
    <row r="28">
      <c r="A28" s="19" t="inlineStr">
        <is>
          <t>РП-1 — Кущенко Д. А. (ДЕМО)</t>
        </is>
      </c>
      <c r="B28" s="12" t="inlineStr">
        <is>
          <t>Стандартизированная работа</t>
        </is>
      </c>
      <c r="C28" s="20">
        <f>IF('Оценки'!C28="","",'Оценки'!C28)</f>
        <v/>
      </c>
      <c r="D28" s="20">
        <f>IF(COUNT('Оценки'!D28:H28)=0,"",AVERAGE('Оценки'!D28:H28))</f>
        <v/>
      </c>
      <c r="E28" s="20">
        <f>IF(OR(C28="",D28=""),"",C28-D28)</f>
        <v/>
      </c>
      <c r="F28" s="19">
        <f>IF(E28="","",IF(E28&gt;=0.5,"⚠ переоценивает себя",IF(D28&lt;3,"низкий уровень","")))</f>
        <v/>
      </c>
    </row>
    <row r="29">
      <c r="A29" s="19" t="inlineStr">
        <is>
          <t>РП-1 — Кущенко Д. А. (ДЕМО)</t>
        </is>
      </c>
      <c r="B29" s="12" t="inlineStr">
        <is>
          <t>Методы поиска первопричин и решения проблем</t>
        </is>
      </c>
      <c r="C29" s="20">
        <f>IF('Оценки'!C29="","",'Оценки'!C29)</f>
        <v/>
      </c>
      <c r="D29" s="20">
        <f>IF(COUNT('Оценки'!D29:H29)=0,"",AVERAGE('Оценки'!D29:H29))</f>
        <v/>
      </c>
      <c r="E29" s="20">
        <f>IF(OR(C29="",D29=""),"",C29-D29)</f>
        <v/>
      </c>
      <c r="F29" s="19">
        <f>IF(E29="","",IF(E29&gt;=0.5,"⚠ переоценивает себя",IF(D29&lt;3,"низкий уровень","")))</f>
        <v/>
      </c>
    </row>
    <row r="30">
      <c r="A30" s="19" t="inlineStr">
        <is>
          <t>РП-1 — Кущенко Д. А. (ДЕМО)</t>
        </is>
      </c>
      <c r="B30" s="12" t="inlineStr">
        <is>
          <t>Быстрая переналадка (SMED)</t>
        </is>
      </c>
      <c r="C30" s="20">
        <f>IF('Оценки'!C30="","",'Оценки'!C30)</f>
        <v/>
      </c>
      <c r="D30" s="20">
        <f>IF(COUNT('Оценки'!D30:H30)=0,"",AVERAGE('Оценки'!D30:H30))</f>
        <v/>
      </c>
      <c r="E30" s="20">
        <f>IF(OR(C30="",D30=""),"",C30-D30)</f>
        <v/>
      </c>
      <c r="F30" s="19">
        <f>IF(E30="","",IF(E30&gt;=0.5,"⚠ переоценивает себя",IF(D30&lt;3,"низкий уровень","")))</f>
        <v/>
      </c>
    </row>
    <row r="31">
      <c r="A31" s="19" t="inlineStr">
        <is>
          <t>РП-1 — Кущенко Д. А. (ДЕМО)</t>
        </is>
      </c>
      <c r="B31" s="12" t="inlineStr">
        <is>
          <t>«Poka-Yoke» (защита от ошибок)</t>
        </is>
      </c>
      <c r="C31" s="20">
        <f>IF('Оценки'!C31="","",'Оценки'!C31)</f>
        <v/>
      </c>
      <c r="D31" s="20">
        <f>IF(COUNT('Оценки'!D31:H31)=0,"",AVERAGE('Оценки'!D31:H31))</f>
        <v/>
      </c>
      <c r="E31" s="20">
        <f>IF(OR(C31="",D31=""),"",C31-D31)</f>
        <v/>
      </c>
      <c r="F31" s="19">
        <f>IF(E31="","",IF(E31&gt;=0.5,"⚠ переоценивает себя",IF(D31&lt;3,"низкий уровень","")))</f>
        <v/>
      </c>
    </row>
    <row r="32">
      <c r="A32" s="19" t="inlineStr">
        <is>
          <t>РП-1 — Кущенко Д. А. (ДЕМО)</t>
        </is>
      </c>
      <c r="B32" s="12" t="inlineStr">
        <is>
          <t>5С на производстве и в офисе</t>
        </is>
      </c>
      <c r="C32" s="20">
        <f>IF('Оценки'!C32="","",'Оценки'!C32)</f>
        <v/>
      </c>
      <c r="D32" s="20">
        <f>IF(COUNT('Оценки'!D32:H32)=0,"",AVERAGE('Оценки'!D32:H32))</f>
        <v/>
      </c>
      <c r="E32" s="20">
        <f>IF(OR(C32="",D32=""),"",C32-D32)</f>
        <v/>
      </c>
      <c r="F32" s="19">
        <f>IF(E32="","",IF(E32&gt;=0.5,"⚠ переоценивает себя",IF(D32&lt;3,"низкий уровень","")))</f>
        <v/>
      </c>
    </row>
    <row r="33">
      <c r="A33" s="19" t="inlineStr">
        <is>
          <t>РП-1 — Кущенко Д. А. (ДЕМО)</t>
        </is>
      </c>
      <c r="B33" s="12" t="inlineStr">
        <is>
          <t>ОЕЕ — анализ эффективности оборудования</t>
        </is>
      </c>
      <c r="C33" s="20">
        <f>IF('Оценки'!C33="","",'Оценки'!C33)</f>
        <v/>
      </c>
      <c r="D33" s="20">
        <f>IF(COUNT('Оценки'!D33:H33)=0,"",AVERAGE('Оценки'!D33:H33))</f>
        <v/>
      </c>
      <c r="E33" s="20">
        <f>IF(OR(C33="",D33=""),"",C33-D33)</f>
        <v/>
      </c>
      <c r="F33" s="19">
        <f>IF(E33="","",IF(E33&gt;=0.5,"⚠ переоценивает себя",IF(D33&lt;3,"низкий уровень","")))</f>
        <v/>
      </c>
    </row>
    <row r="34">
      <c r="A34" s="19" t="inlineStr">
        <is>
          <t>РП-1 — Кущенко Д. А. (ДЕМО)</t>
        </is>
      </c>
      <c r="B34" s="12" t="inlineStr">
        <is>
          <t>Автономное обслуживание оборудования</t>
        </is>
      </c>
      <c r="C34" s="20">
        <f>IF('Оценки'!C34="","",'Оценки'!C34)</f>
        <v/>
      </c>
      <c r="D34" s="20">
        <f>IF(COUNT('Оценки'!D34:H34)=0,"",AVERAGE('Оценки'!D34:H34))</f>
        <v/>
      </c>
      <c r="E34" s="20">
        <f>IF(OR(C34="",D34=""),"",C34-D34)</f>
        <v/>
      </c>
      <c r="F34" s="19">
        <f>IF(E34="","",IF(E34&gt;=0.5,"⚠ переоценивает себя",IF(D34&lt;3,"низкий уровень","")))</f>
        <v/>
      </c>
    </row>
    <row r="35">
      <c r="A35" s="19" t="inlineStr">
        <is>
          <t>РП-1 — Кущенко Д. А. (ДЕМО)</t>
        </is>
      </c>
      <c r="B35" s="12" t="inlineStr">
        <is>
          <t>Управление запасами</t>
        </is>
      </c>
      <c r="C35" s="20">
        <f>IF('Оценки'!C35="","",'Оценки'!C35)</f>
        <v/>
      </c>
      <c r="D35" s="20">
        <f>IF(COUNT('Оценки'!D35:H35)=0,"",AVERAGE('Оценки'!D35:H35))</f>
        <v/>
      </c>
      <c r="E35" s="20">
        <f>IF(OR(C35="",D35=""),"",C35-D35)</f>
        <v/>
      </c>
      <c r="F35" s="19">
        <f>IF(E35="","",IF(E35&gt;=0.5,"⚠ переоценивает себя",IF(D35&lt;3,"низкий уровень","")))</f>
        <v/>
      </c>
    </row>
    <row r="36">
      <c r="A36" s="19" t="inlineStr">
        <is>
          <t>РП-1 — Кущенко Д. А. (ДЕМО)</t>
        </is>
      </c>
      <c r="B36" s="13" t="inlineStr">
        <is>
          <t>Сбор и проверка данных от предприятий-участников, выработка корректирующих мероприятий</t>
        </is>
      </c>
      <c r="C36" s="20">
        <f>IF('Оценки'!C36="","",'Оценки'!C36)</f>
        <v/>
      </c>
      <c r="D36" s="20">
        <f>IF(COUNT('Оценки'!D36:H36)=0,"",AVERAGE('Оценки'!D36:H36))</f>
        <v/>
      </c>
      <c r="E36" s="20">
        <f>IF(OR(C36="",D36=""),"",C36-D36)</f>
        <v/>
      </c>
      <c r="F36" s="19">
        <f>IF(E36="","",IF(E36&gt;=0.5,"⚠ переоценивает себя",IF(D36&lt;3,"низкий уровень","")))</f>
        <v/>
      </c>
    </row>
    <row r="37">
      <c r="A37" s="19" t="inlineStr">
        <is>
          <t>РП-1 — Кущенко Д. А. (ДЕМО)</t>
        </is>
      </c>
      <c r="B37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37" s="20">
        <f>IF('Оценки'!C37="","",'Оценки'!C37)</f>
        <v/>
      </c>
      <c r="D37" s="20">
        <f>IF(COUNT('Оценки'!D37:H37)=0,"",AVERAGE('Оценки'!D37:H37))</f>
        <v/>
      </c>
      <c r="E37" s="20">
        <f>IF(OR(C37="",D37=""),"",C37-D37)</f>
        <v/>
      </c>
      <c r="F37" s="19">
        <f>IF(E37="","",IF(E37&gt;=0.5,"⚠ переоценивает себя",IF(D37&lt;3,"низкий уровень","")))</f>
        <v/>
      </c>
    </row>
    <row r="38">
      <c r="A38" s="19" t="inlineStr">
        <is>
          <t>РП-1 — Кущенко Д. А. (ДЕМО)</t>
        </is>
      </c>
      <c r="B38" s="13" t="inlineStr">
        <is>
          <t>Поиск и распространение лучших практик по производительности труда</t>
        </is>
      </c>
      <c r="C38" s="20">
        <f>IF('Оценки'!C38="","",'Оценки'!C38)</f>
        <v/>
      </c>
      <c r="D38" s="20">
        <f>IF(COUNT('Оценки'!D38:H38)=0,"",AVERAGE('Оценки'!D38:H38))</f>
        <v/>
      </c>
      <c r="E38" s="20">
        <f>IF(OR(C38="",D38=""),"",C38-D38)</f>
        <v/>
      </c>
      <c r="F38" s="19">
        <f>IF(E38="","",IF(E38&gt;=0.5,"⚠ переоценивает себя",IF(D38&lt;3,"низкий уровень","")))</f>
        <v/>
      </c>
    </row>
    <row r="39">
      <c r="A39" s="19" t="inlineStr">
        <is>
          <t>РП-1 — Кущенко Д. А. (ДЕМО)</t>
        </is>
      </c>
      <c r="B39" s="13" t="inlineStr">
        <is>
          <t>Организация работы с предложениями по улучшению (ППУ)</t>
        </is>
      </c>
      <c r="C39" s="20">
        <f>IF('Оценки'!C39="","",'Оценки'!C39)</f>
        <v/>
      </c>
      <c r="D39" s="20">
        <f>IF(COUNT('Оценки'!D39:H39)=0,"",AVERAGE('Оценки'!D39:H39))</f>
        <v/>
      </c>
      <c r="E39" s="20">
        <f>IF(OR(C39="",D39=""),"",C39-D39)</f>
        <v/>
      </c>
      <c r="F39" s="19">
        <f>IF(E39="","",IF(E39&gt;=0.5,"⚠ переоценивает себя",IF(D39&lt;3,"низкий уровень","")))</f>
        <v/>
      </c>
    </row>
    <row r="40">
      <c r="A40" s="19" t="inlineStr">
        <is>
          <t>РП-1 — Кущенко Д. А. (ДЕМО)</t>
        </is>
      </c>
      <c r="B40" s="13" t="inlineStr">
        <is>
          <t>Ведение мониторинга проектов в подсистеме «Совместная работа» на ИТ-платформе</t>
        </is>
      </c>
      <c r="C40" s="20">
        <f>IF('Оценки'!C40="","",'Оценки'!C40)</f>
        <v/>
      </c>
      <c r="D40" s="20">
        <f>IF(COUNT('Оценки'!D40:H40)=0,"",AVERAGE('Оценки'!D40:H40))</f>
        <v/>
      </c>
      <c r="E40" s="20">
        <f>IF(OR(C40="",D40=""),"",C40-D40)</f>
        <v/>
      </c>
      <c r="F40" s="19">
        <f>IF(E40="","",IF(E40&gt;=0.5,"⚠ переоценивает себя",IF(D40&lt;3,"низкий уровень","")))</f>
        <v/>
      </c>
    </row>
    <row r="41">
      <c r="A41" s="21" t="inlineStr">
        <is>
          <t>РП-1 — Кущенко Д. А. (ДЕМО)</t>
        </is>
      </c>
      <c r="B41" s="21" t="inlineStr">
        <is>
          <t>ИТОГО (среднее по всем компетенциям)</t>
        </is>
      </c>
      <c r="C41" s="22">
        <f>IF(COUNT(C4:C40)=0,"",AVERAGE(C4:C40))</f>
        <v/>
      </c>
      <c r="D41" s="22">
        <f>IF(COUNT(D4:D40)=0,"",AVERAGE(D4:D40))</f>
        <v/>
      </c>
      <c r="E41" s="22">
        <f>IF(OR(C41="",D41=""),"",C41-D41)</f>
        <v/>
      </c>
      <c r="F41" s="21">
        <f>IF(E41="","",IF(E41&gt;=0.5,"⚠ переоценивает себя",IF(D41&lt;3,"низкий уровень","")))</f>
        <v/>
      </c>
    </row>
    <row r="42">
      <c r="A42" s="19" t="n"/>
      <c r="B42" s="19" t="n"/>
      <c r="C42" s="20" t="n"/>
      <c r="D42" s="20" t="n"/>
      <c r="E42" s="20" t="n"/>
      <c r="F42" s="19" t="n"/>
    </row>
    <row r="43">
      <c r="A43" s="19" t="inlineStr">
        <is>
          <t>РП-2 — Горбунова А. М. (ДЕМО)</t>
        </is>
      </c>
      <c r="B43" s="9" t="inlineStr">
        <is>
          <t>Проведение оценки на соответствие предприятия обязательным критериям</t>
        </is>
      </c>
      <c r="C43" s="20">
        <f>IF('Оценки'!C43="","",'Оценки'!C43)</f>
        <v/>
      </c>
      <c r="D43" s="20">
        <f>IF(COUNT('Оценки'!D43:H43)=0,"",AVERAGE('Оценки'!D43:H43))</f>
        <v/>
      </c>
      <c r="E43" s="20">
        <f>IF(OR(C43="",D43=""),"",C43-D43)</f>
        <v/>
      </c>
      <c r="F43" s="19">
        <f>IF(E43="","",IF(E43&gt;=0.5,"⚠ переоценивает себя",IF(D43&lt;3,"низкий уровень","")))</f>
        <v/>
      </c>
    </row>
    <row r="44">
      <c r="A44" s="19" t="inlineStr">
        <is>
          <t>РП-2 — Горбунова А. М. (ДЕМО)</t>
        </is>
      </c>
      <c r="B44" s="9" t="inlineStr">
        <is>
          <t>Проведение оценки готовности руководства предприятия к участию в проекте (интервью)</t>
        </is>
      </c>
      <c r="C44" s="20">
        <f>IF('Оценки'!C44="","",'Оценки'!C44)</f>
        <v/>
      </c>
      <c r="D44" s="20">
        <f>IF(COUNT('Оценки'!D44:H44)=0,"",AVERAGE('Оценки'!D44:H44))</f>
        <v/>
      </c>
      <c r="E44" s="20">
        <f>IF(OR(C44="",D44=""),"",C44-D44)</f>
        <v/>
      </c>
      <c r="F44" s="19">
        <f>IF(E44="","",IF(E44&gt;=0.5,"⚠ переоценивает себя",IF(D44&lt;3,"низкий уровень","")))</f>
        <v/>
      </c>
    </row>
    <row r="45">
      <c r="A45" s="19" t="inlineStr">
        <is>
          <t>РП-2 — Горбунова А. М. (ДЕМО)</t>
        </is>
      </c>
      <c r="B45" s="9" t="inlineStr">
        <is>
          <t>Проведение визуальной оценки производственного процесса на предприятии (визит на площадку)</t>
        </is>
      </c>
      <c r="C45" s="20">
        <f>IF('Оценки'!C45="","",'Оценки'!C45)</f>
        <v/>
      </c>
      <c r="D45" s="20">
        <f>IF(COUNT('Оценки'!D45:H45)=0,"",AVERAGE('Оценки'!D45:H45))</f>
        <v/>
      </c>
      <c r="E45" s="20">
        <f>IF(OR(C45="",D45=""),"",C45-D45)</f>
        <v/>
      </c>
      <c r="F45" s="19">
        <f>IF(E45="","",IF(E45&gt;=0.5,"⚠ переоценивает себя",IF(D45&lt;3,"низкий уровень","")))</f>
        <v/>
      </c>
    </row>
    <row r="46">
      <c r="A46" s="19" t="inlineStr">
        <is>
          <t>РП-2 — Горбунова А. М. (ДЕМО)</t>
        </is>
      </c>
      <c r="B46" s="9" t="inlineStr">
        <is>
          <t>Вовлечение руководства предприятий в федеральный проект</t>
        </is>
      </c>
      <c r="C46" s="20">
        <f>IF('Оценки'!C46="","",'Оценки'!C46)</f>
        <v/>
      </c>
      <c r="D46" s="20">
        <f>IF(COUNT('Оценки'!D46:H46)=0,"",AVERAGE('Оценки'!D46:H46))</f>
        <v/>
      </c>
      <c r="E46" s="20">
        <f>IF(OR(C46="",D46=""),"",C46-D46)</f>
        <v/>
      </c>
      <c r="F46" s="19">
        <f>IF(E46="","",IF(E46&gt;=0.5,"⚠ переоценивает себя",IF(D46&lt;3,"низкий уровень","")))</f>
        <v/>
      </c>
    </row>
    <row r="47">
      <c r="A47" s="19" t="inlineStr">
        <is>
          <t>РП-2 — Горбунова А. М. (ДЕМО)</t>
        </is>
      </c>
      <c r="B47" s="9" t="inlineStr">
        <is>
          <t>Подписание соглашения о сотрудничестве между РЦК и предприятием</t>
        </is>
      </c>
      <c r="C47" s="20">
        <f>IF('Оценки'!C47="","",'Оценки'!C47)</f>
        <v/>
      </c>
      <c r="D47" s="20">
        <f>IF(COUNT('Оценки'!D47:H47)=0,"",AVERAGE('Оценки'!D47:H47))</f>
        <v/>
      </c>
      <c r="E47" s="20">
        <f>IF(OR(C47="",D47=""),"",C47-D47)</f>
        <v/>
      </c>
      <c r="F47" s="19">
        <f>IF(E47="","",IF(E47&gt;=0.5,"⚠ переоценивает себя",IF(D47&lt;3,"низкий уровень","")))</f>
        <v/>
      </c>
    </row>
    <row r="48">
      <c r="A48" s="19" t="inlineStr">
        <is>
          <t>РП-2 — Горбунова А. М. (ДЕМО)</t>
        </is>
      </c>
      <c r="B48" s="11" t="inlineStr">
        <is>
          <t>Реализация организационных вех программы</t>
        </is>
      </c>
      <c r="C48" s="20">
        <f>IF('Оценки'!C48="","",'Оценки'!C48)</f>
        <v/>
      </c>
      <c r="D48" s="20">
        <f>IF(COUNT('Оценки'!D48:H48)=0,"",AVERAGE('Оценки'!D48:H48))</f>
        <v/>
      </c>
      <c r="E48" s="20">
        <f>IF(OR(C48="",D48=""),"",C48-D48)</f>
        <v/>
      </c>
      <c r="F48" s="19">
        <f>IF(E48="","",IF(E48&gt;=0.5,"⚠ переоценивает себя",IF(D48&lt;3,"низкий уровень","")))</f>
        <v/>
      </c>
    </row>
    <row r="49">
      <c r="A49" s="19" t="inlineStr">
        <is>
          <t>РП-2 — Горбунова А. М. (ДЕМО)</t>
        </is>
      </c>
      <c r="B49" s="11" t="inlineStr">
        <is>
          <t>Формирование проектного офиса</t>
        </is>
      </c>
      <c r="C49" s="20">
        <f>IF('Оценки'!C49="","",'Оценки'!C49)</f>
        <v/>
      </c>
      <c r="D49" s="20">
        <f>IF(COUNT('Оценки'!D49:H49)=0,"",AVERAGE('Оценки'!D49:H49))</f>
        <v/>
      </c>
      <c r="E49" s="20">
        <f>IF(OR(C49="",D49=""),"",C49-D49)</f>
        <v/>
      </c>
      <c r="F49" s="19">
        <f>IF(E49="","",IF(E49&gt;=0.5,"⚠ переоценивает себя",IF(D49&lt;3,"низкий уровень","")))</f>
        <v/>
      </c>
    </row>
    <row r="50">
      <c r="A50" s="19" t="inlineStr">
        <is>
          <t>РП-2 — Горбунова А. М. (ДЕМО)</t>
        </is>
      </c>
      <c r="B50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50" s="20">
        <f>IF('Оценки'!C50="","",'Оценки'!C50)</f>
        <v/>
      </c>
      <c r="D50" s="20">
        <f>IF(COUNT('Оценки'!D50:H50)=0,"",AVERAGE('Оценки'!D50:H50))</f>
        <v/>
      </c>
      <c r="E50" s="20">
        <f>IF(OR(C50="",D50=""),"",C50-D50)</f>
        <v/>
      </c>
      <c r="F50" s="19">
        <f>IF(E50="","",IF(E50&gt;=0.5,"⚠ переоценивает себя",IF(D50&lt;3,"низкий уровень","")))</f>
        <v/>
      </c>
    </row>
    <row r="51">
      <c r="A51" s="19" t="inlineStr">
        <is>
          <t>РП-2 — Горбунова А. М. (ДЕМО)</t>
        </is>
      </c>
      <c r="B51" s="11" t="inlineStr">
        <is>
          <t>Выявление степени готовности предприятия к изменениям</t>
        </is>
      </c>
      <c r="C51" s="20">
        <f>IF('Оценки'!C51="","",'Оценки'!C51)</f>
        <v/>
      </c>
      <c r="D51" s="20">
        <f>IF(COUNT('Оценки'!D51:H51)=0,"",AVERAGE('Оценки'!D51:H51))</f>
        <v/>
      </c>
      <c r="E51" s="20">
        <f>IF(OR(C51="",D51=""),"",C51-D51)</f>
        <v/>
      </c>
      <c r="F51" s="19">
        <f>IF(E51="","",IF(E51&gt;=0.5,"⚠ переоценивает себя",IF(D51&lt;3,"низкий уровень","")))</f>
        <v/>
      </c>
    </row>
    <row r="52">
      <c r="A52" s="19" t="inlineStr">
        <is>
          <t>РП-2 — Горбунова А. М. (ДЕМО)</t>
        </is>
      </c>
      <c r="B52" s="11" t="inlineStr">
        <is>
          <t>Составление плана ключевых событий</t>
        </is>
      </c>
      <c r="C52" s="20">
        <f>IF('Оценки'!C52="","",'Оценки'!C52)</f>
        <v/>
      </c>
      <c r="D52" s="20">
        <f>IF(COUNT('Оценки'!D52:H52)=0,"",AVERAGE('Оценки'!D52:H52))</f>
        <v/>
      </c>
      <c r="E52" s="20">
        <f>IF(OR(C52="",D52=""),"",C52-D52)</f>
        <v/>
      </c>
      <c r="F52" s="19">
        <f>IF(E52="","",IF(E52&gt;=0.5,"⚠ переоценивает себя",IF(D52&lt;3,"низкий уровень","")))</f>
        <v/>
      </c>
    </row>
    <row r="53">
      <c r="A53" s="19" t="inlineStr">
        <is>
          <t>РП-2 — Горбунова А. М. (ДЕМО)</t>
        </is>
      </c>
      <c r="B53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53" s="20">
        <f>IF('Оценки'!C53="","",'Оценки'!C53)</f>
        <v/>
      </c>
      <c r="D53" s="20">
        <f>IF(COUNT('Оценки'!D53:H53)=0,"",AVERAGE('Оценки'!D53:H53))</f>
        <v/>
      </c>
      <c r="E53" s="20">
        <f>IF(OR(C53="",D53=""),"",C53-D53)</f>
        <v/>
      </c>
      <c r="F53" s="19">
        <f>IF(E53="","",IF(E53&gt;=0.5,"⚠ переоценивает себя",IF(D53&lt;3,"низкий уровень","")))</f>
        <v/>
      </c>
    </row>
    <row r="54">
      <c r="A54" s="19" t="inlineStr">
        <is>
          <t>РП-2 — Горбунова А. М. (ДЕМО)</t>
        </is>
      </c>
      <c r="B54" s="11" t="inlineStr">
        <is>
          <t>Проведение анализа показателей проектов повышения производительности труда</t>
        </is>
      </c>
      <c r="C54" s="20">
        <f>IF('Оценки'!C54="","",'Оценки'!C54)</f>
        <v/>
      </c>
      <c r="D54" s="20">
        <f>IF(COUNT('Оценки'!D54:H54)=0,"",AVERAGE('Оценки'!D54:H54))</f>
        <v/>
      </c>
      <c r="E54" s="20">
        <f>IF(OR(C54="",D54=""),"",C54-D54)</f>
        <v/>
      </c>
      <c r="F54" s="19">
        <f>IF(E54="","",IF(E54&gt;=0.5,"⚠ переоценивает себя",IF(D54&lt;3,"низкий уровень","")))</f>
        <v/>
      </c>
    </row>
    <row r="55">
      <c r="A55" s="19" t="inlineStr">
        <is>
          <t>РП-2 — Горбунова А. М. (ДЕМО)</t>
        </is>
      </c>
      <c r="B55" s="11" t="inlineStr">
        <is>
          <t>Создание карточки проекта</t>
        </is>
      </c>
      <c r="C55" s="20">
        <f>IF('Оценки'!C55="","",'Оценки'!C55)</f>
        <v/>
      </c>
      <c r="D55" s="20">
        <f>IF(COUNT('Оценки'!D55:H55)=0,"",AVERAGE('Оценки'!D55:H55))</f>
        <v/>
      </c>
      <c r="E55" s="20">
        <f>IF(OR(C55="",D55=""),"",C55-D55)</f>
        <v/>
      </c>
      <c r="F55" s="19">
        <f>IF(E55="","",IF(E55&gt;=0.5,"⚠ переоценивает себя",IF(D55&lt;3,"низкий уровень","")))</f>
        <v/>
      </c>
    </row>
    <row r="56">
      <c r="A56" s="19" t="inlineStr">
        <is>
          <t>РП-2 — Горбунова А. М. (ДЕМО)</t>
        </is>
      </c>
      <c r="B56" s="11" t="inlineStr">
        <is>
          <t>Создание информационного центра проекта</t>
        </is>
      </c>
      <c r="C56" s="20">
        <f>IF('Оценки'!C56="","",'Оценки'!C56)</f>
        <v/>
      </c>
      <c r="D56" s="20">
        <f>IF(COUNT('Оценки'!D56:H56)=0,"",AVERAGE('Оценки'!D56:H56))</f>
        <v/>
      </c>
      <c r="E56" s="20">
        <f>IF(OR(C56="",D56=""),"",C56-D56)</f>
        <v/>
      </c>
      <c r="F56" s="19">
        <f>IF(E56="","",IF(E56&gt;=0.5,"⚠ переоценивает себя",IF(D56&lt;3,"низкий уровень","")))</f>
        <v/>
      </c>
    </row>
    <row r="57">
      <c r="A57" s="19" t="inlineStr">
        <is>
          <t>РП-2 — Горбунова А. М. (ДЕМО)</t>
        </is>
      </c>
      <c r="B57" s="11" t="inlineStr">
        <is>
          <t>Создание эталонного участка</t>
        </is>
      </c>
      <c r="C57" s="20">
        <f>IF('Оценки'!C57="","",'Оценки'!C57)</f>
        <v/>
      </c>
      <c r="D57" s="20">
        <f>IF(COUNT('Оценки'!D57:H57)=0,"",AVERAGE('Оценки'!D57:H57))</f>
        <v/>
      </c>
      <c r="E57" s="20">
        <f>IF(OR(C57="",D57=""),"",C57-D57)</f>
        <v/>
      </c>
      <c r="F57" s="19">
        <f>IF(E57="","",IF(E57&gt;=0.5,"⚠ переоценивает себя",IF(D57&lt;3,"низкий уровень","")))</f>
        <v/>
      </c>
    </row>
    <row r="58">
      <c r="A58" s="19" t="inlineStr">
        <is>
          <t>РП-2 — Горбунова А. М. (ДЕМО)</t>
        </is>
      </c>
      <c r="B58" s="11" t="inlineStr">
        <is>
          <t>Проведение оценки уровня развития производственной системы предприятия</t>
        </is>
      </c>
      <c r="C58" s="20">
        <f>IF('Оценки'!C58="","",'Оценки'!C58)</f>
        <v/>
      </c>
      <c r="D58" s="20">
        <f>IF(COUNT('Оценки'!D58:H58)=0,"",AVERAGE('Оценки'!D58:H58))</f>
        <v/>
      </c>
      <c r="E58" s="20">
        <f>IF(OR(C58="",D58=""),"",C58-D58)</f>
        <v/>
      </c>
      <c r="F58" s="19">
        <f>IF(E58="","",IF(E58&gt;=0.5,"⚠ переоценивает себя",IF(D58&lt;3,"низкий уровень","")))</f>
        <v/>
      </c>
    </row>
    <row r="59">
      <c r="A59" s="19" t="inlineStr">
        <is>
          <t>РП-2 — Горбунова А. М. (ДЕМО)</t>
        </is>
      </c>
      <c r="B59" s="11" t="inlineStr">
        <is>
          <t>Внедрение информационных центров</t>
        </is>
      </c>
      <c r="C59" s="20">
        <f>IF('Оценки'!C59="","",'Оценки'!C59)</f>
        <v/>
      </c>
      <c r="D59" s="20">
        <f>IF(COUNT('Оценки'!D59:H59)=0,"",AVERAGE('Оценки'!D59:H59))</f>
        <v/>
      </c>
      <c r="E59" s="20">
        <f>IF(OR(C59="",D59=""),"",C59-D59)</f>
        <v/>
      </c>
      <c r="F59" s="19">
        <f>IF(E59="","",IF(E59&gt;=0.5,"⚠ переоценивает себя",IF(D59&lt;3,"низкий уровень","")))</f>
        <v/>
      </c>
    </row>
    <row r="60">
      <c r="A60" s="19" t="inlineStr">
        <is>
          <t>РП-2 — Горбунова А. М. (ДЕМО)</t>
        </is>
      </c>
      <c r="B60" s="11" t="inlineStr">
        <is>
          <t>Подготовка к проведению тренингов</t>
        </is>
      </c>
      <c r="C60" s="20">
        <f>IF('Оценки'!C60="","",'Оценки'!C60)</f>
        <v/>
      </c>
      <c r="D60" s="20">
        <f>IF(COUNT('Оценки'!D60:H60)=0,"",AVERAGE('Оценки'!D60:H60))</f>
        <v/>
      </c>
      <c r="E60" s="20">
        <f>IF(OR(C60="",D60=""),"",C60-D60)</f>
        <v/>
      </c>
      <c r="F60" s="19">
        <f>IF(E60="","",IF(E60&gt;=0.5,"⚠ переоценивает себя",IF(D60&lt;3,"низкий уровень","")))</f>
        <v/>
      </c>
    </row>
    <row r="61">
      <c r="A61" s="19" t="inlineStr">
        <is>
          <t>РП-2 — Горбунова А. М. (ДЕМО)</t>
        </is>
      </c>
      <c r="B61" s="11" t="inlineStr">
        <is>
          <t>Проведение тренингов по Бережливому производству</t>
        </is>
      </c>
      <c r="C61" s="20">
        <f>IF('Оценки'!C61="","",'Оценки'!C61)</f>
        <v/>
      </c>
      <c r="D61" s="20">
        <f>IF(COUNT('Оценки'!D61:H61)=0,"",AVERAGE('Оценки'!D61:H61))</f>
        <v/>
      </c>
      <c r="E61" s="20">
        <f>IF(OR(C61="",D61=""),"",C61-D61)</f>
        <v/>
      </c>
      <c r="F61" s="19">
        <f>IF(E61="","",IF(E61&gt;=0.5,"⚠ переоценивает себя",IF(D61&lt;3,"низкий уровень","")))</f>
        <v/>
      </c>
    </row>
    <row r="62">
      <c r="A62" s="19" t="inlineStr">
        <is>
          <t>РП-2 — Горбунова А. М. (ДЕМО)</t>
        </is>
      </c>
      <c r="B62" s="11" t="inlineStr">
        <is>
          <t>Мониторинг проводимого обучения</t>
        </is>
      </c>
      <c r="C62" s="20">
        <f>IF('Оценки'!C62="","",'Оценки'!C62)</f>
        <v/>
      </c>
      <c r="D62" s="20">
        <f>IF(COUNT('Оценки'!D62:H62)=0,"",AVERAGE('Оценки'!D62:H62))</f>
        <v/>
      </c>
      <c r="E62" s="20">
        <f>IF(OR(C62="",D62=""),"",C62-D62)</f>
        <v/>
      </c>
      <c r="F62" s="19">
        <f>IF(E62="","",IF(E62&gt;=0.5,"⚠ переоценивает себя",IF(D62&lt;3,"низкий уровень","")))</f>
        <v/>
      </c>
    </row>
    <row r="63">
      <c r="A63" s="19" t="inlineStr">
        <is>
          <t>РП-2 — Горбунова А. М. (ДЕМО)</t>
        </is>
      </c>
      <c r="B63" s="12" t="inlineStr">
        <is>
          <t>Картирование потоков и «Диаграмма спагетти»</t>
        </is>
      </c>
      <c r="C63" s="20">
        <f>IF('Оценки'!C63="","",'Оценки'!C63)</f>
        <v/>
      </c>
      <c r="D63" s="20">
        <f>IF(COUNT('Оценки'!D63:H63)=0,"",AVERAGE('Оценки'!D63:H63))</f>
        <v/>
      </c>
      <c r="E63" s="20">
        <f>IF(OR(C63="",D63=""),"",C63-D63)</f>
        <v/>
      </c>
      <c r="F63" s="19">
        <f>IF(E63="","",IF(E63&gt;=0.5,"⚠ переоценивает себя",IF(D63&lt;3,"низкий уровень","")))</f>
        <v/>
      </c>
    </row>
    <row r="64">
      <c r="A64" s="19" t="inlineStr">
        <is>
          <t>РП-2 — Горбунова А. М. (ДЕМО)</t>
        </is>
      </c>
      <c r="B64" s="12" t="inlineStr">
        <is>
          <t>Производственный анализ</t>
        </is>
      </c>
      <c r="C64" s="20">
        <f>IF('Оценки'!C64="","",'Оценки'!C64)</f>
        <v/>
      </c>
      <c r="D64" s="20">
        <f>IF(COUNT('Оценки'!D64:H64)=0,"",AVERAGE('Оценки'!D64:H64))</f>
        <v/>
      </c>
      <c r="E64" s="20">
        <f>IF(OR(C64="",D64=""),"",C64-D64)</f>
        <v/>
      </c>
      <c r="F64" s="19">
        <f>IF(E64="","",IF(E64&gt;=0.5,"⚠ переоценивает себя",IF(D64&lt;3,"низкий уровень","")))</f>
        <v/>
      </c>
    </row>
    <row r="65">
      <c r="A65" s="19" t="inlineStr">
        <is>
          <t>РП-2 — Горбунова А. М. (ДЕМО)</t>
        </is>
      </c>
      <c r="B65" s="12" t="inlineStr">
        <is>
          <t>Поток единичных изделий</t>
        </is>
      </c>
      <c r="C65" s="20">
        <f>IF('Оценки'!C65="","",'Оценки'!C65)</f>
        <v/>
      </c>
      <c r="D65" s="20">
        <f>IF(COUNT('Оценки'!D65:H65)=0,"",AVERAGE('Оценки'!D65:H65))</f>
        <v/>
      </c>
      <c r="E65" s="20">
        <f>IF(OR(C65="",D65=""),"",C65-D65)</f>
        <v/>
      </c>
      <c r="F65" s="19">
        <f>IF(E65="","",IF(E65&gt;=0.5,"⚠ переоценивает себя",IF(D65&lt;3,"низкий уровень","")))</f>
        <v/>
      </c>
    </row>
    <row r="66">
      <c r="A66" s="19" t="inlineStr">
        <is>
          <t>РП-2 — Горбунова А. М. (ДЕМО)</t>
        </is>
      </c>
      <c r="B66" s="12" t="inlineStr">
        <is>
          <t>Система «Канбан»</t>
        </is>
      </c>
      <c r="C66" s="20">
        <f>IF('Оценки'!C66="","",'Оценки'!C66)</f>
        <v/>
      </c>
      <c r="D66" s="20">
        <f>IF(COUNT('Оценки'!D66:H66)=0,"",AVERAGE('Оценки'!D66:H66))</f>
        <v/>
      </c>
      <c r="E66" s="20">
        <f>IF(OR(C66="",D66=""),"",C66-D66)</f>
        <v/>
      </c>
      <c r="F66" s="19">
        <f>IF(E66="","",IF(E66&gt;=0.5,"⚠ переоценивает себя",IF(D66&lt;3,"низкий уровень","")))</f>
        <v/>
      </c>
    </row>
    <row r="67">
      <c r="A67" s="19" t="inlineStr">
        <is>
          <t>РП-2 — Горбунова А. М. (ДЕМО)</t>
        </is>
      </c>
      <c r="B67" s="12" t="inlineStr">
        <is>
          <t>Стандартизированная работа</t>
        </is>
      </c>
      <c r="C67" s="20">
        <f>IF('Оценки'!C67="","",'Оценки'!C67)</f>
        <v/>
      </c>
      <c r="D67" s="20">
        <f>IF(COUNT('Оценки'!D67:H67)=0,"",AVERAGE('Оценки'!D67:H67))</f>
        <v/>
      </c>
      <c r="E67" s="20">
        <f>IF(OR(C67="",D67=""),"",C67-D67)</f>
        <v/>
      </c>
      <c r="F67" s="19">
        <f>IF(E67="","",IF(E67&gt;=0.5,"⚠ переоценивает себя",IF(D67&lt;3,"низкий уровень","")))</f>
        <v/>
      </c>
    </row>
    <row r="68">
      <c r="A68" s="19" t="inlineStr">
        <is>
          <t>РП-2 — Горбунова А. М. (ДЕМО)</t>
        </is>
      </c>
      <c r="B68" s="12" t="inlineStr">
        <is>
          <t>Методы поиска первопричин и решения проблем</t>
        </is>
      </c>
      <c r="C68" s="20">
        <f>IF('Оценки'!C68="","",'Оценки'!C68)</f>
        <v/>
      </c>
      <c r="D68" s="20">
        <f>IF(COUNT('Оценки'!D68:H68)=0,"",AVERAGE('Оценки'!D68:H68))</f>
        <v/>
      </c>
      <c r="E68" s="20">
        <f>IF(OR(C68="",D68=""),"",C68-D68)</f>
        <v/>
      </c>
      <c r="F68" s="19">
        <f>IF(E68="","",IF(E68&gt;=0.5,"⚠ переоценивает себя",IF(D68&lt;3,"низкий уровень","")))</f>
        <v/>
      </c>
    </row>
    <row r="69">
      <c r="A69" s="19" t="inlineStr">
        <is>
          <t>РП-2 — Горбунова А. М. (ДЕМО)</t>
        </is>
      </c>
      <c r="B69" s="12" t="inlineStr">
        <is>
          <t>Быстрая переналадка (SMED)</t>
        </is>
      </c>
      <c r="C69" s="20">
        <f>IF('Оценки'!C69="","",'Оценки'!C69)</f>
        <v/>
      </c>
      <c r="D69" s="20">
        <f>IF(COUNT('Оценки'!D69:H69)=0,"",AVERAGE('Оценки'!D69:H69))</f>
        <v/>
      </c>
      <c r="E69" s="20">
        <f>IF(OR(C69="",D69=""),"",C69-D69)</f>
        <v/>
      </c>
      <c r="F69" s="19">
        <f>IF(E69="","",IF(E69&gt;=0.5,"⚠ переоценивает себя",IF(D69&lt;3,"низкий уровень","")))</f>
        <v/>
      </c>
    </row>
    <row r="70">
      <c r="A70" s="19" t="inlineStr">
        <is>
          <t>РП-2 — Горбунова А. М. (ДЕМО)</t>
        </is>
      </c>
      <c r="B70" s="12" t="inlineStr">
        <is>
          <t>«Poka-Yoke» (защита от ошибок)</t>
        </is>
      </c>
      <c r="C70" s="20">
        <f>IF('Оценки'!C70="","",'Оценки'!C70)</f>
        <v/>
      </c>
      <c r="D70" s="20">
        <f>IF(COUNT('Оценки'!D70:H70)=0,"",AVERAGE('Оценки'!D70:H70))</f>
        <v/>
      </c>
      <c r="E70" s="20">
        <f>IF(OR(C70="",D70=""),"",C70-D70)</f>
        <v/>
      </c>
      <c r="F70" s="19">
        <f>IF(E70="","",IF(E70&gt;=0.5,"⚠ переоценивает себя",IF(D70&lt;3,"низкий уровень","")))</f>
        <v/>
      </c>
    </row>
    <row r="71">
      <c r="A71" s="19" t="inlineStr">
        <is>
          <t>РП-2 — Горбунова А. М. (ДЕМО)</t>
        </is>
      </c>
      <c r="B71" s="12" t="inlineStr">
        <is>
          <t>5С на производстве и в офисе</t>
        </is>
      </c>
      <c r="C71" s="20">
        <f>IF('Оценки'!C71="","",'Оценки'!C71)</f>
        <v/>
      </c>
      <c r="D71" s="20">
        <f>IF(COUNT('Оценки'!D71:H71)=0,"",AVERAGE('Оценки'!D71:H71))</f>
        <v/>
      </c>
      <c r="E71" s="20">
        <f>IF(OR(C71="",D71=""),"",C71-D71)</f>
        <v/>
      </c>
      <c r="F71" s="19">
        <f>IF(E71="","",IF(E71&gt;=0.5,"⚠ переоценивает себя",IF(D71&lt;3,"низкий уровень","")))</f>
        <v/>
      </c>
    </row>
    <row r="72">
      <c r="A72" s="19" t="inlineStr">
        <is>
          <t>РП-2 — Горбунова А. М. (ДЕМО)</t>
        </is>
      </c>
      <c r="B72" s="12" t="inlineStr">
        <is>
          <t>ОЕЕ — анализ эффективности оборудования</t>
        </is>
      </c>
      <c r="C72" s="20">
        <f>IF('Оценки'!C72="","",'Оценки'!C72)</f>
        <v/>
      </c>
      <c r="D72" s="20">
        <f>IF(COUNT('Оценки'!D72:H72)=0,"",AVERAGE('Оценки'!D72:H72))</f>
        <v/>
      </c>
      <c r="E72" s="20">
        <f>IF(OR(C72="",D72=""),"",C72-D72)</f>
        <v/>
      </c>
      <c r="F72" s="19">
        <f>IF(E72="","",IF(E72&gt;=0.5,"⚠ переоценивает себя",IF(D72&lt;3,"низкий уровень","")))</f>
        <v/>
      </c>
    </row>
    <row r="73">
      <c r="A73" s="19" t="inlineStr">
        <is>
          <t>РП-2 — Горбунова А. М. (ДЕМО)</t>
        </is>
      </c>
      <c r="B73" s="12" t="inlineStr">
        <is>
          <t>Автономное обслуживание оборудования</t>
        </is>
      </c>
      <c r="C73" s="20">
        <f>IF('Оценки'!C73="","",'Оценки'!C73)</f>
        <v/>
      </c>
      <c r="D73" s="20">
        <f>IF(COUNT('Оценки'!D73:H73)=0,"",AVERAGE('Оценки'!D73:H73))</f>
        <v/>
      </c>
      <c r="E73" s="20">
        <f>IF(OR(C73="",D73=""),"",C73-D73)</f>
        <v/>
      </c>
      <c r="F73" s="19">
        <f>IF(E73="","",IF(E73&gt;=0.5,"⚠ переоценивает себя",IF(D73&lt;3,"низкий уровень","")))</f>
        <v/>
      </c>
    </row>
    <row r="74">
      <c r="A74" s="19" t="inlineStr">
        <is>
          <t>РП-2 — Горбунова А. М. (ДЕМО)</t>
        </is>
      </c>
      <c r="B74" s="12" t="inlineStr">
        <is>
          <t>Управление запасами</t>
        </is>
      </c>
      <c r="C74" s="20">
        <f>IF('Оценки'!C74="","",'Оценки'!C74)</f>
        <v/>
      </c>
      <c r="D74" s="20">
        <f>IF(COUNT('Оценки'!D74:H74)=0,"",AVERAGE('Оценки'!D74:H74))</f>
        <v/>
      </c>
      <c r="E74" s="20">
        <f>IF(OR(C74="",D74=""),"",C74-D74)</f>
        <v/>
      </c>
      <c r="F74" s="19">
        <f>IF(E74="","",IF(E74&gt;=0.5,"⚠ переоценивает себя",IF(D74&lt;3,"низкий уровень","")))</f>
        <v/>
      </c>
    </row>
    <row r="75">
      <c r="A75" s="19" t="inlineStr">
        <is>
          <t>РП-2 — Горбунова А. М. (ДЕМО)</t>
        </is>
      </c>
      <c r="B75" s="13" t="inlineStr">
        <is>
          <t>Сбор и проверка данных от предприятий-участников, выработка корректирующих мероприятий</t>
        </is>
      </c>
      <c r="C75" s="20">
        <f>IF('Оценки'!C75="","",'Оценки'!C75)</f>
        <v/>
      </c>
      <c r="D75" s="20">
        <f>IF(COUNT('Оценки'!D75:H75)=0,"",AVERAGE('Оценки'!D75:H75))</f>
        <v/>
      </c>
      <c r="E75" s="20">
        <f>IF(OR(C75="",D75=""),"",C75-D75)</f>
        <v/>
      </c>
      <c r="F75" s="19">
        <f>IF(E75="","",IF(E75&gt;=0.5,"⚠ переоценивает себя",IF(D75&lt;3,"низкий уровень","")))</f>
        <v/>
      </c>
    </row>
    <row r="76">
      <c r="A76" s="19" t="inlineStr">
        <is>
          <t>РП-2 — Горбунова А. М. (ДЕМО)</t>
        </is>
      </c>
      <c r="B76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76" s="20">
        <f>IF('Оценки'!C76="","",'Оценки'!C76)</f>
        <v/>
      </c>
      <c r="D76" s="20">
        <f>IF(COUNT('Оценки'!D76:H76)=0,"",AVERAGE('Оценки'!D76:H76))</f>
        <v/>
      </c>
      <c r="E76" s="20">
        <f>IF(OR(C76="",D76=""),"",C76-D76)</f>
        <v/>
      </c>
      <c r="F76" s="19">
        <f>IF(E76="","",IF(E76&gt;=0.5,"⚠ переоценивает себя",IF(D76&lt;3,"низкий уровень","")))</f>
        <v/>
      </c>
    </row>
    <row r="77">
      <c r="A77" s="19" t="inlineStr">
        <is>
          <t>РП-2 — Горбунова А. М. (ДЕМО)</t>
        </is>
      </c>
      <c r="B77" s="13" t="inlineStr">
        <is>
          <t>Поиск и распространение лучших практик по производительности труда</t>
        </is>
      </c>
      <c r="C77" s="20">
        <f>IF('Оценки'!C77="","",'Оценки'!C77)</f>
        <v/>
      </c>
      <c r="D77" s="20">
        <f>IF(COUNT('Оценки'!D77:H77)=0,"",AVERAGE('Оценки'!D77:H77))</f>
        <v/>
      </c>
      <c r="E77" s="20">
        <f>IF(OR(C77="",D77=""),"",C77-D77)</f>
        <v/>
      </c>
      <c r="F77" s="19">
        <f>IF(E77="","",IF(E77&gt;=0.5,"⚠ переоценивает себя",IF(D77&lt;3,"низкий уровень","")))</f>
        <v/>
      </c>
    </row>
    <row r="78">
      <c r="A78" s="19" t="inlineStr">
        <is>
          <t>РП-2 — Горбунова А. М. (ДЕМО)</t>
        </is>
      </c>
      <c r="B78" s="13" t="inlineStr">
        <is>
          <t>Организация работы с предложениями по улучшению (ППУ)</t>
        </is>
      </c>
      <c r="C78" s="20">
        <f>IF('Оценки'!C78="","",'Оценки'!C78)</f>
        <v/>
      </c>
      <c r="D78" s="20">
        <f>IF(COUNT('Оценки'!D78:H78)=0,"",AVERAGE('Оценки'!D78:H78))</f>
        <v/>
      </c>
      <c r="E78" s="20">
        <f>IF(OR(C78="",D78=""),"",C78-D78)</f>
        <v/>
      </c>
      <c r="F78" s="19">
        <f>IF(E78="","",IF(E78&gt;=0.5,"⚠ переоценивает себя",IF(D78&lt;3,"низкий уровень","")))</f>
        <v/>
      </c>
    </row>
    <row r="79">
      <c r="A79" s="19" t="inlineStr">
        <is>
          <t>РП-2 — Горбунова А. М. (ДЕМО)</t>
        </is>
      </c>
      <c r="B79" s="13" t="inlineStr">
        <is>
          <t>Ведение мониторинга проектов в подсистеме «Совместная работа» на ИТ-платформе</t>
        </is>
      </c>
      <c r="C79" s="20">
        <f>IF('Оценки'!C79="","",'Оценки'!C79)</f>
        <v/>
      </c>
      <c r="D79" s="20">
        <f>IF(COUNT('Оценки'!D79:H79)=0,"",AVERAGE('Оценки'!D79:H79))</f>
        <v/>
      </c>
      <c r="E79" s="20">
        <f>IF(OR(C79="",D79=""),"",C79-D79)</f>
        <v/>
      </c>
      <c r="F79" s="19">
        <f>IF(E79="","",IF(E79&gt;=0.5,"⚠ переоценивает себя",IF(D79&lt;3,"низкий уровень","")))</f>
        <v/>
      </c>
    </row>
    <row r="80">
      <c r="A80" s="21" t="inlineStr">
        <is>
          <t>РП-2 — Горбунова А. М. (ДЕМО)</t>
        </is>
      </c>
      <c r="B80" s="21" t="inlineStr">
        <is>
          <t>ИТОГО (среднее по всем компетенциям)</t>
        </is>
      </c>
      <c r="C80" s="22">
        <f>IF(COUNT(C43:C79)=0,"",AVERAGE(C43:C79))</f>
        <v/>
      </c>
      <c r="D80" s="22">
        <f>IF(COUNT(D43:D79)=0,"",AVERAGE(D43:D79))</f>
        <v/>
      </c>
      <c r="E80" s="22">
        <f>IF(OR(C80="",D80=""),"",C80-D80)</f>
        <v/>
      </c>
      <c r="F80" s="21">
        <f>IF(E80="","",IF(E80&gt;=0.5,"⚠ переоценивает себя",IF(D80&lt;3,"низкий уровень","")))</f>
        <v/>
      </c>
    </row>
    <row r="81">
      <c r="A81" s="19" t="n"/>
      <c r="B81" s="19" t="n"/>
      <c r="C81" s="20" t="n"/>
      <c r="D81" s="20" t="n"/>
      <c r="E81" s="20" t="n"/>
      <c r="F81" s="19" t="n"/>
    </row>
    <row r="82">
      <c r="A82" s="19" t="inlineStr">
        <is>
          <t>РП-3 — Бутым Б. С. (ДЕМО)</t>
        </is>
      </c>
      <c r="B82" s="9" t="inlineStr">
        <is>
          <t>Проведение оценки на соответствие предприятия обязательным критериям</t>
        </is>
      </c>
      <c r="C82" s="20">
        <f>IF('Оценки'!C82="","",'Оценки'!C82)</f>
        <v/>
      </c>
      <c r="D82" s="20">
        <f>IF(COUNT('Оценки'!D82:H82)=0,"",AVERAGE('Оценки'!D82:H82))</f>
        <v/>
      </c>
      <c r="E82" s="20">
        <f>IF(OR(C82="",D82=""),"",C82-D82)</f>
        <v/>
      </c>
      <c r="F82" s="19">
        <f>IF(E82="","",IF(E82&gt;=0.5,"⚠ переоценивает себя",IF(D82&lt;3,"низкий уровень","")))</f>
        <v/>
      </c>
    </row>
    <row r="83">
      <c r="A83" s="19" t="inlineStr">
        <is>
          <t>РП-3 — Бутым Б. С. (ДЕМО)</t>
        </is>
      </c>
      <c r="B83" s="9" t="inlineStr">
        <is>
          <t>Проведение оценки готовности руководства предприятия к участию в проекте (интервью)</t>
        </is>
      </c>
      <c r="C83" s="20">
        <f>IF('Оценки'!C83="","",'Оценки'!C83)</f>
        <v/>
      </c>
      <c r="D83" s="20">
        <f>IF(COUNT('Оценки'!D83:H83)=0,"",AVERAGE('Оценки'!D83:H83))</f>
        <v/>
      </c>
      <c r="E83" s="20">
        <f>IF(OR(C83="",D83=""),"",C83-D83)</f>
        <v/>
      </c>
      <c r="F83" s="19">
        <f>IF(E83="","",IF(E83&gt;=0.5,"⚠ переоценивает себя",IF(D83&lt;3,"низкий уровень","")))</f>
        <v/>
      </c>
    </row>
    <row r="84">
      <c r="A84" s="19" t="inlineStr">
        <is>
          <t>РП-3 — Бутым Б. С. (ДЕМО)</t>
        </is>
      </c>
      <c r="B84" s="9" t="inlineStr">
        <is>
          <t>Проведение визуальной оценки производственного процесса на предприятии (визит на площадку)</t>
        </is>
      </c>
      <c r="C84" s="20">
        <f>IF('Оценки'!C84="","",'Оценки'!C84)</f>
        <v/>
      </c>
      <c r="D84" s="20">
        <f>IF(COUNT('Оценки'!D84:H84)=0,"",AVERAGE('Оценки'!D84:H84))</f>
        <v/>
      </c>
      <c r="E84" s="20">
        <f>IF(OR(C84="",D84=""),"",C84-D84)</f>
        <v/>
      </c>
      <c r="F84" s="19">
        <f>IF(E84="","",IF(E84&gt;=0.5,"⚠ переоценивает себя",IF(D84&lt;3,"низкий уровень","")))</f>
        <v/>
      </c>
    </row>
    <row r="85">
      <c r="A85" s="19" t="inlineStr">
        <is>
          <t>РП-3 — Бутым Б. С. (ДЕМО)</t>
        </is>
      </c>
      <c r="B85" s="9" t="inlineStr">
        <is>
          <t>Вовлечение руководства предприятий в федеральный проект</t>
        </is>
      </c>
      <c r="C85" s="20">
        <f>IF('Оценки'!C85="","",'Оценки'!C85)</f>
        <v/>
      </c>
      <c r="D85" s="20">
        <f>IF(COUNT('Оценки'!D85:H85)=0,"",AVERAGE('Оценки'!D85:H85))</f>
        <v/>
      </c>
      <c r="E85" s="20">
        <f>IF(OR(C85="",D85=""),"",C85-D85)</f>
        <v/>
      </c>
      <c r="F85" s="19">
        <f>IF(E85="","",IF(E85&gt;=0.5,"⚠ переоценивает себя",IF(D85&lt;3,"низкий уровень","")))</f>
        <v/>
      </c>
    </row>
    <row r="86">
      <c r="A86" s="19" t="inlineStr">
        <is>
          <t>РП-3 — Бутым Б. С. (ДЕМО)</t>
        </is>
      </c>
      <c r="B86" s="9" t="inlineStr">
        <is>
          <t>Подписание соглашения о сотрудничестве между РЦК и предприятием</t>
        </is>
      </c>
      <c r="C86" s="20">
        <f>IF('Оценки'!C86="","",'Оценки'!C86)</f>
        <v/>
      </c>
      <c r="D86" s="20">
        <f>IF(COUNT('Оценки'!D86:H86)=0,"",AVERAGE('Оценки'!D86:H86))</f>
        <v/>
      </c>
      <c r="E86" s="20">
        <f>IF(OR(C86="",D86=""),"",C86-D86)</f>
        <v/>
      </c>
      <c r="F86" s="19">
        <f>IF(E86="","",IF(E86&gt;=0.5,"⚠ переоценивает себя",IF(D86&lt;3,"низкий уровень","")))</f>
        <v/>
      </c>
    </row>
    <row r="87">
      <c r="A87" s="19" t="inlineStr">
        <is>
          <t>РП-3 — Бутым Б. С. (ДЕМО)</t>
        </is>
      </c>
      <c r="B87" s="11" t="inlineStr">
        <is>
          <t>Реализация организационных вех программы</t>
        </is>
      </c>
      <c r="C87" s="20">
        <f>IF('Оценки'!C87="","",'Оценки'!C87)</f>
        <v/>
      </c>
      <c r="D87" s="20">
        <f>IF(COUNT('Оценки'!D87:H87)=0,"",AVERAGE('Оценки'!D87:H87))</f>
        <v/>
      </c>
      <c r="E87" s="20">
        <f>IF(OR(C87="",D87=""),"",C87-D87)</f>
        <v/>
      </c>
      <c r="F87" s="19">
        <f>IF(E87="","",IF(E87&gt;=0.5,"⚠ переоценивает себя",IF(D87&lt;3,"низкий уровень","")))</f>
        <v/>
      </c>
    </row>
    <row r="88">
      <c r="A88" s="19" t="inlineStr">
        <is>
          <t>РП-3 — Бутым Б. С. (ДЕМО)</t>
        </is>
      </c>
      <c r="B88" s="11" t="inlineStr">
        <is>
          <t>Формирование проектного офиса</t>
        </is>
      </c>
      <c r="C88" s="20">
        <f>IF('Оценки'!C88="","",'Оценки'!C88)</f>
        <v/>
      </c>
      <c r="D88" s="20">
        <f>IF(COUNT('Оценки'!D88:H88)=0,"",AVERAGE('Оценки'!D88:H88))</f>
        <v/>
      </c>
      <c r="E88" s="20">
        <f>IF(OR(C88="",D88=""),"",C88-D88)</f>
        <v/>
      </c>
      <c r="F88" s="19">
        <f>IF(E88="","",IF(E88&gt;=0.5,"⚠ переоценивает себя",IF(D88&lt;3,"низкий уровень","")))</f>
        <v/>
      </c>
    </row>
    <row r="89">
      <c r="A89" s="19" t="inlineStr">
        <is>
          <t>РП-3 — Бутым Б. С. (ДЕМО)</t>
        </is>
      </c>
      <c r="B89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89" s="20">
        <f>IF('Оценки'!C89="","",'Оценки'!C89)</f>
        <v/>
      </c>
      <c r="D89" s="20">
        <f>IF(COUNT('Оценки'!D89:H89)=0,"",AVERAGE('Оценки'!D89:H89))</f>
        <v/>
      </c>
      <c r="E89" s="20">
        <f>IF(OR(C89="",D89=""),"",C89-D89)</f>
        <v/>
      </c>
      <c r="F89" s="19">
        <f>IF(E89="","",IF(E89&gt;=0.5,"⚠ переоценивает себя",IF(D89&lt;3,"низкий уровень","")))</f>
        <v/>
      </c>
    </row>
    <row r="90">
      <c r="A90" s="19" t="inlineStr">
        <is>
          <t>РП-3 — Бутым Б. С. (ДЕМО)</t>
        </is>
      </c>
      <c r="B90" s="11" t="inlineStr">
        <is>
          <t>Выявление степени готовности предприятия к изменениям</t>
        </is>
      </c>
      <c r="C90" s="20">
        <f>IF('Оценки'!C90="","",'Оценки'!C90)</f>
        <v/>
      </c>
      <c r="D90" s="20">
        <f>IF(COUNT('Оценки'!D90:H90)=0,"",AVERAGE('Оценки'!D90:H90))</f>
        <v/>
      </c>
      <c r="E90" s="20">
        <f>IF(OR(C90="",D90=""),"",C90-D90)</f>
        <v/>
      </c>
      <c r="F90" s="19">
        <f>IF(E90="","",IF(E90&gt;=0.5,"⚠ переоценивает себя",IF(D90&lt;3,"низкий уровень","")))</f>
        <v/>
      </c>
    </row>
    <row r="91">
      <c r="A91" s="19" t="inlineStr">
        <is>
          <t>РП-3 — Бутым Б. С. (ДЕМО)</t>
        </is>
      </c>
      <c r="B91" s="11" t="inlineStr">
        <is>
          <t>Составление плана ключевых событий</t>
        </is>
      </c>
      <c r="C91" s="20">
        <f>IF('Оценки'!C91="","",'Оценки'!C91)</f>
        <v/>
      </c>
      <c r="D91" s="20">
        <f>IF(COUNT('Оценки'!D91:H91)=0,"",AVERAGE('Оценки'!D91:H91))</f>
        <v/>
      </c>
      <c r="E91" s="20">
        <f>IF(OR(C91="",D91=""),"",C91-D91)</f>
        <v/>
      </c>
      <c r="F91" s="19">
        <f>IF(E91="","",IF(E91&gt;=0.5,"⚠ переоценивает себя",IF(D91&lt;3,"низкий уровень","")))</f>
        <v/>
      </c>
    </row>
    <row r="92">
      <c r="A92" s="19" t="inlineStr">
        <is>
          <t>РП-3 — Бутым Б. С. (ДЕМО)</t>
        </is>
      </c>
      <c r="B92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92" s="20">
        <f>IF('Оценки'!C92="","",'Оценки'!C92)</f>
        <v/>
      </c>
      <c r="D92" s="20">
        <f>IF(COUNT('Оценки'!D92:H92)=0,"",AVERAGE('Оценки'!D92:H92))</f>
        <v/>
      </c>
      <c r="E92" s="20">
        <f>IF(OR(C92="",D92=""),"",C92-D92)</f>
        <v/>
      </c>
      <c r="F92" s="19">
        <f>IF(E92="","",IF(E92&gt;=0.5,"⚠ переоценивает себя",IF(D92&lt;3,"низкий уровень","")))</f>
        <v/>
      </c>
    </row>
    <row r="93">
      <c r="A93" s="19" t="inlineStr">
        <is>
          <t>РП-3 — Бутым Б. С. (ДЕМО)</t>
        </is>
      </c>
      <c r="B93" s="11" t="inlineStr">
        <is>
          <t>Проведение анализа показателей проектов повышения производительности труда</t>
        </is>
      </c>
      <c r="C93" s="20">
        <f>IF('Оценки'!C93="","",'Оценки'!C93)</f>
        <v/>
      </c>
      <c r="D93" s="20">
        <f>IF(COUNT('Оценки'!D93:H93)=0,"",AVERAGE('Оценки'!D93:H93))</f>
        <v/>
      </c>
      <c r="E93" s="20">
        <f>IF(OR(C93="",D93=""),"",C93-D93)</f>
        <v/>
      </c>
      <c r="F93" s="19">
        <f>IF(E93="","",IF(E93&gt;=0.5,"⚠ переоценивает себя",IF(D93&lt;3,"низкий уровень","")))</f>
        <v/>
      </c>
    </row>
    <row r="94">
      <c r="A94" s="19" t="inlineStr">
        <is>
          <t>РП-3 — Бутым Б. С. (ДЕМО)</t>
        </is>
      </c>
      <c r="B94" s="11" t="inlineStr">
        <is>
          <t>Создание карточки проекта</t>
        </is>
      </c>
      <c r="C94" s="20">
        <f>IF('Оценки'!C94="","",'Оценки'!C94)</f>
        <v/>
      </c>
      <c r="D94" s="20">
        <f>IF(COUNT('Оценки'!D94:H94)=0,"",AVERAGE('Оценки'!D94:H94))</f>
        <v/>
      </c>
      <c r="E94" s="20">
        <f>IF(OR(C94="",D94=""),"",C94-D94)</f>
        <v/>
      </c>
      <c r="F94" s="19">
        <f>IF(E94="","",IF(E94&gt;=0.5,"⚠ переоценивает себя",IF(D94&lt;3,"низкий уровень","")))</f>
        <v/>
      </c>
    </row>
    <row r="95">
      <c r="A95" s="19" t="inlineStr">
        <is>
          <t>РП-3 — Бутым Б. С. (ДЕМО)</t>
        </is>
      </c>
      <c r="B95" s="11" t="inlineStr">
        <is>
          <t>Создание информационного центра проекта</t>
        </is>
      </c>
      <c r="C95" s="20">
        <f>IF('Оценки'!C95="","",'Оценки'!C95)</f>
        <v/>
      </c>
      <c r="D95" s="20">
        <f>IF(COUNT('Оценки'!D95:H95)=0,"",AVERAGE('Оценки'!D95:H95))</f>
        <v/>
      </c>
      <c r="E95" s="20">
        <f>IF(OR(C95="",D95=""),"",C95-D95)</f>
        <v/>
      </c>
      <c r="F95" s="19">
        <f>IF(E95="","",IF(E95&gt;=0.5,"⚠ переоценивает себя",IF(D95&lt;3,"низкий уровень","")))</f>
        <v/>
      </c>
    </row>
    <row r="96">
      <c r="A96" s="19" t="inlineStr">
        <is>
          <t>РП-3 — Бутым Б. С. (ДЕМО)</t>
        </is>
      </c>
      <c r="B96" s="11" t="inlineStr">
        <is>
          <t>Создание эталонного участка</t>
        </is>
      </c>
      <c r="C96" s="20">
        <f>IF('Оценки'!C96="","",'Оценки'!C96)</f>
        <v/>
      </c>
      <c r="D96" s="20">
        <f>IF(COUNT('Оценки'!D96:H96)=0,"",AVERAGE('Оценки'!D96:H96))</f>
        <v/>
      </c>
      <c r="E96" s="20">
        <f>IF(OR(C96="",D96=""),"",C96-D96)</f>
        <v/>
      </c>
      <c r="F96" s="19">
        <f>IF(E96="","",IF(E96&gt;=0.5,"⚠ переоценивает себя",IF(D96&lt;3,"низкий уровень","")))</f>
        <v/>
      </c>
    </row>
    <row r="97">
      <c r="A97" s="19" t="inlineStr">
        <is>
          <t>РП-3 — Бутым Б. С. (ДЕМО)</t>
        </is>
      </c>
      <c r="B97" s="11" t="inlineStr">
        <is>
          <t>Проведение оценки уровня развития производственной системы предприятия</t>
        </is>
      </c>
      <c r="C97" s="20">
        <f>IF('Оценки'!C97="","",'Оценки'!C97)</f>
        <v/>
      </c>
      <c r="D97" s="20">
        <f>IF(COUNT('Оценки'!D97:H97)=0,"",AVERAGE('Оценки'!D97:H97))</f>
        <v/>
      </c>
      <c r="E97" s="20">
        <f>IF(OR(C97="",D97=""),"",C97-D97)</f>
        <v/>
      </c>
      <c r="F97" s="19">
        <f>IF(E97="","",IF(E97&gt;=0.5,"⚠ переоценивает себя",IF(D97&lt;3,"низкий уровень","")))</f>
        <v/>
      </c>
    </row>
    <row r="98">
      <c r="A98" s="19" t="inlineStr">
        <is>
          <t>РП-3 — Бутым Б. С. (ДЕМО)</t>
        </is>
      </c>
      <c r="B98" s="11" t="inlineStr">
        <is>
          <t>Внедрение информационных центров</t>
        </is>
      </c>
      <c r="C98" s="20">
        <f>IF('Оценки'!C98="","",'Оценки'!C98)</f>
        <v/>
      </c>
      <c r="D98" s="20">
        <f>IF(COUNT('Оценки'!D98:H98)=0,"",AVERAGE('Оценки'!D98:H98))</f>
        <v/>
      </c>
      <c r="E98" s="20">
        <f>IF(OR(C98="",D98=""),"",C98-D98)</f>
        <v/>
      </c>
      <c r="F98" s="19">
        <f>IF(E98="","",IF(E98&gt;=0.5,"⚠ переоценивает себя",IF(D98&lt;3,"низкий уровень","")))</f>
        <v/>
      </c>
    </row>
    <row r="99">
      <c r="A99" s="19" t="inlineStr">
        <is>
          <t>РП-3 — Бутым Б. С. (ДЕМО)</t>
        </is>
      </c>
      <c r="B99" s="11" t="inlineStr">
        <is>
          <t>Подготовка к проведению тренингов</t>
        </is>
      </c>
      <c r="C99" s="20">
        <f>IF('Оценки'!C99="","",'Оценки'!C99)</f>
        <v/>
      </c>
      <c r="D99" s="20">
        <f>IF(COUNT('Оценки'!D99:H99)=0,"",AVERAGE('Оценки'!D99:H99))</f>
        <v/>
      </c>
      <c r="E99" s="20">
        <f>IF(OR(C99="",D99=""),"",C99-D99)</f>
        <v/>
      </c>
      <c r="F99" s="19">
        <f>IF(E99="","",IF(E99&gt;=0.5,"⚠ переоценивает себя",IF(D99&lt;3,"низкий уровень","")))</f>
        <v/>
      </c>
    </row>
    <row r="100">
      <c r="A100" s="19" t="inlineStr">
        <is>
          <t>РП-3 — Бутым Б. С. (ДЕМО)</t>
        </is>
      </c>
      <c r="B100" s="11" t="inlineStr">
        <is>
          <t>Проведение тренингов по Бережливому производству</t>
        </is>
      </c>
      <c r="C100" s="20">
        <f>IF('Оценки'!C100="","",'Оценки'!C100)</f>
        <v/>
      </c>
      <c r="D100" s="20">
        <f>IF(COUNT('Оценки'!D100:H100)=0,"",AVERAGE('Оценки'!D100:H100))</f>
        <v/>
      </c>
      <c r="E100" s="20">
        <f>IF(OR(C100="",D100=""),"",C100-D100)</f>
        <v/>
      </c>
      <c r="F100" s="19">
        <f>IF(E100="","",IF(E100&gt;=0.5,"⚠ переоценивает себя",IF(D100&lt;3,"низкий уровень","")))</f>
        <v/>
      </c>
    </row>
    <row r="101">
      <c r="A101" s="19" t="inlineStr">
        <is>
          <t>РП-3 — Бутым Б. С. (ДЕМО)</t>
        </is>
      </c>
      <c r="B101" s="11" t="inlineStr">
        <is>
          <t>Мониторинг проводимого обучения</t>
        </is>
      </c>
      <c r="C101" s="20">
        <f>IF('Оценки'!C101="","",'Оценки'!C101)</f>
        <v/>
      </c>
      <c r="D101" s="20">
        <f>IF(COUNT('Оценки'!D101:H101)=0,"",AVERAGE('Оценки'!D101:H101))</f>
        <v/>
      </c>
      <c r="E101" s="20">
        <f>IF(OR(C101="",D101=""),"",C101-D101)</f>
        <v/>
      </c>
      <c r="F101" s="19">
        <f>IF(E101="","",IF(E101&gt;=0.5,"⚠ переоценивает себя",IF(D101&lt;3,"низкий уровень","")))</f>
        <v/>
      </c>
    </row>
    <row r="102">
      <c r="A102" s="19" t="inlineStr">
        <is>
          <t>РП-3 — Бутым Б. С. (ДЕМО)</t>
        </is>
      </c>
      <c r="B102" s="12" t="inlineStr">
        <is>
          <t>Картирование потоков и «Диаграмма спагетти»</t>
        </is>
      </c>
      <c r="C102" s="20">
        <f>IF('Оценки'!C102="","",'Оценки'!C102)</f>
        <v/>
      </c>
      <c r="D102" s="20">
        <f>IF(COUNT('Оценки'!D102:H102)=0,"",AVERAGE('Оценки'!D102:H102))</f>
        <v/>
      </c>
      <c r="E102" s="20">
        <f>IF(OR(C102="",D102=""),"",C102-D102)</f>
        <v/>
      </c>
      <c r="F102" s="19">
        <f>IF(E102="","",IF(E102&gt;=0.5,"⚠ переоценивает себя",IF(D102&lt;3,"низкий уровень","")))</f>
        <v/>
      </c>
    </row>
    <row r="103">
      <c r="A103" s="19" t="inlineStr">
        <is>
          <t>РП-3 — Бутым Б. С. (ДЕМО)</t>
        </is>
      </c>
      <c r="B103" s="12" t="inlineStr">
        <is>
          <t>Производственный анализ</t>
        </is>
      </c>
      <c r="C103" s="20">
        <f>IF('Оценки'!C103="","",'Оценки'!C103)</f>
        <v/>
      </c>
      <c r="D103" s="20">
        <f>IF(COUNT('Оценки'!D103:H103)=0,"",AVERAGE('Оценки'!D103:H103))</f>
        <v/>
      </c>
      <c r="E103" s="20">
        <f>IF(OR(C103="",D103=""),"",C103-D103)</f>
        <v/>
      </c>
      <c r="F103" s="19">
        <f>IF(E103="","",IF(E103&gt;=0.5,"⚠ переоценивает себя",IF(D103&lt;3,"низкий уровень","")))</f>
        <v/>
      </c>
    </row>
    <row r="104">
      <c r="A104" s="19" t="inlineStr">
        <is>
          <t>РП-3 — Бутым Б. С. (ДЕМО)</t>
        </is>
      </c>
      <c r="B104" s="12" t="inlineStr">
        <is>
          <t>Поток единичных изделий</t>
        </is>
      </c>
      <c r="C104" s="20">
        <f>IF('Оценки'!C104="","",'Оценки'!C104)</f>
        <v/>
      </c>
      <c r="D104" s="20">
        <f>IF(COUNT('Оценки'!D104:H104)=0,"",AVERAGE('Оценки'!D104:H104))</f>
        <v/>
      </c>
      <c r="E104" s="20">
        <f>IF(OR(C104="",D104=""),"",C104-D104)</f>
        <v/>
      </c>
      <c r="F104" s="19">
        <f>IF(E104="","",IF(E104&gt;=0.5,"⚠ переоценивает себя",IF(D104&lt;3,"низкий уровень","")))</f>
        <v/>
      </c>
    </row>
    <row r="105">
      <c r="A105" s="19" t="inlineStr">
        <is>
          <t>РП-3 — Бутым Б. С. (ДЕМО)</t>
        </is>
      </c>
      <c r="B105" s="12" t="inlineStr">
        <is>
          <t>Система «Канбан»</t>
        </is>
      </c>
      <c r="C105" s="20">
        <f>IF('Оценки'!C105="","",'Оценки'!C105)</f>
        <v/>
      </c>
      <c r="D105" s="20">
        <f>IF(COUNT('Оценки'!D105:H105)=0,"",AVERAGE('Оценки'!D105:H105))</f>
        <v/>
      </c>
      <c r="E105" s="20">
        <f>IF(OR(C105="",D105=""),"",C105-D105)</f>
        <v/>
      </c>
      <c r="F105" s="19">
        <f>IF(E105="","",IF(E105&gt;=0.5,"⚠ переоценивает себя",IF(D105&lt;3,"низкий уровень","")))</f>
        <v/>
      </c>
    </row>
    <row r="106">
      <c r="A106" s="19" t="inlineStr">
        <is>
          <t>РП-3 — Бутым Б. С. (ДЕМО)</t>
        </is>
      </c>
      <c r="B106" s="12" t="inlineStr">
        <is>
          <t>Стандартизированная работа</t>
        </is>
      </c>
      <c r="C106" s="20">
        <f>IF('Оценки'!C106="","",'Оценки'!C106)</f>
        <v/>
      </c>
      <c r="D106" s="20">
        <f>IF(COUNT('Оценки'!D106:H106)=0,"",AVERAGE('Оценки'!D106:H106))</f>
        <v/>
      </c>
      <c r="E106" s="20">
        <f>IF(OR(C106="",D106=""),"",C106-D106)</f>
        <v/>
      </c>
      <c r="F106" s="19">
        <f>IF(E106="","",IF(E106&gt;=0.5,"⚠ переоценивает себя",IF(D106&lt;3,"низкий уровень","")))</f>
        <v/>
      </c>
    </row>
    <row r="107">
      <c r="A107" s="19" t="inlineStr">
        <is>
          <t>РП-3 — Бутым Б. С. (ДЕМО)</t>
        </is>
      </c>
      <c r="B107" s="12" t="inlineStr">
        <is>
          <t>Методы поиска первопричин и решения проблем</t>
        </is>
      </c>
      <c r="C107" s="20">
        <f>IF('Оценки'!C107="","",'Оценки'!C107)</f>
        <v/>
      </c>
      <c r="D107" s="20">
        <f>IF(COUNT('Оценки'!D107:H107)=0,"",AVERAGE('Оценки'!D107:H107))</f>
        <v/>
      </c>
      <c r="E107" s="20">
        <f>IF(OR(C107="",D107=""),"",C107-D107)</f>
        <v/>
      </c>
      <c r="F107" s="19">
        <f>IF(E107="","",IF(E107&gt;=0.5,"⚠ переоценивает себя",IF(D107&lt;3,"низкий уровень","")))</f>
        <v/>
      </c>
    </row>
    <row r="108">
      <c r="A108" s="19" t="inlineStr">
        <is>
          <t>РП-3 — Бутым Б. С. (ДЕМО)</t>
        </is>
      </c>
      <c r="B108" s="12" t="inlineStr">
        <is>
          <t>Быстрая переналадка (SMED)</t>
        </is>
      </c>
      <c r="C108" s="20">
        <f>IF('Оценки'!C108="","",'Оценки'!C108)</f>
        <v/>
      </c>
      <c r="D108" s="20">
        <f>IF(COUNT('Оценки'!D108:H108)=0,"",AVERAGE('Оценки'!D108:H108))</f>
        <v/>
      </c>
      <c r="E108" s="20">
        <f>IF(OR(C108="",D108=""),"",C108-D108)</f>
        <v/>
      </c>
      <c r="F108" s="19">
        <f>IF(E108="","",IF(E108&gt;=0.5,"⚠ переоценивает себя",IF(D108&lt;3,"низкий уровень","")))</f>
        <v/>
      </c>
    </row>
    <row r="109">
      <c r="A109" s="19" t="inlineStr">
        <is>
          <t>РП-3 — Бутым Б. С. (ДЕМО)</t>
        </is>
      </c>
      <c r="B109" s="12" t="inlineStr">
        <is>
          <t>«Poka-Yoke» (защита от ошибок)</t>
        </is>
      </c>
      <c r="C109" s="20">
        <f>IF('Оценки'!C109="","",'Оценки'!C109)</f>
        <v/>
      </c>
      <c r="D109" s="20">
        <f>IF(COUNT('Оценки'!D109:H109)=0,"",AVERAGE('Оценки'!D109:H109))</f>
        <v/>
      </c>
      <c r="E109" s="20">
        <f>IF(OR(C109="",D109=""),"",C109-D109)</f>
        <v/>
      </c>
      <c r="F109" s="19">
        <f>IF(E109="","",IF(E109&gt;=0.5,"⚠ переоценивает себя",IF(D109&lt;3,"низкий уровень","")))</f>
        <v/>
      </c>
    </row>
    <row r="110">
      <c r="A110" s="19" t="inlineStr">
        <is>
          <t>РП-3 — Бутым Б. С. (ДЕМО)</t>
        </is>
      </c>
      <c r="B110" s="12" t="inlineStr">
        <is>
          <t>5С на производстве и в офисе</t>
        </is>
      </c>
      <c r="C110" s="20">
        <f>IF('Оценки'!C110="","",'Оценки'!C110)</f>
        <v/>
      </c>
      <c r="D110" s="20">
        <f>IF(COUNT('Оценки'!D110:H110)=0,"",AVERAGE('Оценки'!D110:H110))</f>
        <v/>
      </c>
      <c r="E110" s="20">
        <f>IF(OR(C110="",D110=""),"",C110-D110)</f>
        <v/>
      </c>
      <c r="F110" s="19">
        <f>IF(E110="","",IF(E110&gt;=0.5,"⚠ переоценивает себя",IF(D110&lt;3,"низкий уровень","")))</f>
        <v/>
      </c>
    </row>
    <row r="111">
      <c r="A111" s="19" t="inlineStr">
        <is>
          <t>РП-3 — Бутым Б. С. (ДЕМО)</t>
        </is>
      </c>
      <c r="B111" s="12" t="inlineStr">
        <is>
          <t>ОЕЕ — анализ эффективности оборудования</t>
        </is>
      </c>
      <c r="C111" s="20">
        <f>IF('Оценки'!C111="","",'Оценки'!C111)</f>
        <v/>
      </c>
      <c r="D111" s="20">
        <f>IF(COUNT('Оценки'!D111:H111)=0,"",AVERAGE('Оценки'!D111:H111))</f>
        <v/>
      </c>
      <c r="E111" s="20">
        <f>IF(OR(C111="",D111=""),"",C111-D111)</f>
        <v/>
      </c>
      <c r="F111" s="19">
        <f>IF(E111="","",IF(E111&gt;=0.5,"⚠ переоценивает себя",IF(D111&lt;3,"низкий уровень","")))</f>
        <v/>
      </c>
    </row>
    <row r="112">
      <c r="A112" s="19" t="inlineStr">
        <is>
          <t>РП-3 — Бутым Б. С. (ДЕМО)</t>
        </is>
      </c>
      <c r="B112" s="12" t="inlineStr">
        <is>
          <t>Автономное обслуживание оборудования</t>
        </is>
      </c>
      <c r="C112" s="20">
        <f>IF('Оценки'!C112="","",'Оценки'!C112)</f>
        <v/>
      </c>
      <c r="D112" s="20">
        <f>IF(COUNT('Оценки'!D112:H112)=0,"",AVERAGE('Оценки'!D112:H112))</f>
        <v/>
      </c>
      <c r="E112" s="20">
        <f>IF(OR(C112="",D112=""),"",C112-D112)</f>
        <v/>
      </c>
      <c r="F112" s="19">
        <f>IF(E112="","",IF(E112&gt;=0.5,"⚠ переоценивает себя",IF(D112&lt;3,"низкий уровень","")))</f>
        <v/>
      </c>
    </row>
    <row r="113">
      <c r="A113" s="19" t="inlineStr">
        <is>
          <t>РП-3 — Бутым Б. С. (ДЕМО)</t>
        </is>
      </c>
      <c r="B113" s="12" t="inlineStr">
        <is>
          <t>Управление запасами</t>
        </is>
      </c>
      <c r="C113" s="20">
        <f>IF('Оценки'!C113="","",'Оценки'!C113)</f>
        <v/>
      </c>
      <c r="D113" s="20">
        <f>IF(COUNT('Оценки'!D113:H113)=0,"",AVERAGE('Оценки'!D113:H113))</f>
        <v/>
      </c>
      <c r="E113" s="20">
        <f>IF(OR(C113="",D113=""),"",C113-D113)</f>
        <v/>
      </c>
      <c r="F113" s="19">
        <f>IF(E113="","",IF(E113&gt;=0.5,"⚠ переоценивает себя",IF(D113&lt;3,"низкий уровень","")))</f>
        <v/>
      </c>
    </row>
    <row r="114">
      <c r="A114" s="19" t="inlineStr">
        <is>
          <t>РП-3 — Бутым Б. С. (ДЕМО)</t>
        </is>
      </c>
      <c r="B114" s="13" t="inlineStr">
        <is>
          <t>Сбор и проверка данных от предприятий-участников, выработка корректирующих мероприятий</t>
        </is>
      </c>
      <c r="C114" s="20">
        <f>IF('Оценки'!C114="","",'Оценки'!C114)</f>
        <v/>
      </c>
      <c r="D114" s="20">
        <f>IF(COUNT('Оценки'!D114:H114)=0,"",AVERAGE('Оценки'!D114:H114))</f>
        <v/>
      </c>
      <c r="E114" s="20">
        <f>IF(OR(C114="",D114=""),"",C114-D114)</f>
        <v/>
      </c>
      <c r="F114" s="19">
        <f>IF(E114="","",IF(E114&gt;=0.5,"⚠ переоценивает себя",IF(D114&lt;3,"низкий уровень","")))</f>
        <v/>
      </c>
    </row>
    <row r="115">
      <c r="A115" s="19" t="inlineStr">
        <is>
          <t>РП-3 — Бутым Б. С. (ДЕМО)</t>
        </is>
      </c>
      <c r="B115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15" s="20">
        <f>IF('Оценки'!C115="","",'Оценки'!C115)</f>
        <v/>
      </c>
      <c r="D115" s="20">
        <f>IF(COUNT('Оценки'!D115:H115)=0,"",AVERAGE('Оценки'!D115:H115))</f>
        <v/>
      </c>
      <c r="E115" s="20">
        <f>IF(OR(C115="",D115=""),"",C115-D115)</f>
        <v/>
      </c>
      <c r="F115" s="19">
        <f>IF(E115="","",IF(E115&gt;=0.5,"⚠ переоценивает себя",IF(D115&lt;3,"низкий уровень","")))</f>
        <v/>
      </c>
    </row>
    <row r="116">
      <c r="A116" s="19" t="inlineStr">
        <is>
          <t>РП-3 — Бутым Б. С. (ДЕМО)</t>
        </is>
      </c>
      <c r="B116" s="13" t="inlineStr">
        <is>
          <t>Поиск и распространение лучших практик по производительности труда</t>
        </is>
      </c>
      <c r="C116" s="20">
        <f>IF('Оценки'!C116="","",'Оценки'!C116)</f>
        <v/>
      </c>
      <c r="D116" s="20">
        <f>IF(COUNT('Оценки'!D116:H116)=0,"",AVERAGE('Оценки'!D116:H116))</f>
        <v/>
      </c>
      <c r="E116" s="20">
        <f>IF(OR(C116="",D116=""),"",C116-D116)</f>
        <v/>
      </c>
      <c r="F116" s="19">
        <f>IF(E116="","",IF(E116&gt;=0.5,"⚠ переоценивает себя",IF(D116&lt;3,"низкий уровень","")))</f>
        <v/>
      </c>
    </row>
    <row r="117">
      <c r="A117" s="19" t="inlineStr">
        <is>
          <t>РП-3 — Бутым Б. С. (ДЕМО)</t>
        </is>
      </c>
      <c r="B117" s="13" t="inlineStr">
        <is>
          <t>Организация работы с предложениями по улучшению (ППУ)</t>
        </is>
      </c>
      <c r="C117" s="20">
        <f>IF('Оценки'!C117="","",'Оценки'!C117)</f>
        <v/>
      </c>
      <c r="D117" s="20">
        <f>IF(COUNT('Оценки'!D117:H117)=0,"",AVERAGE('Оценки'!D117:H117))</f>
        <v/>
      </c>
      <c r="E117" s="20">
        <f>IF(OR(C117="",D117=""),"",C117-D117)</f>
        <v/>
      </c>
      <c r="F117" s="19">
        <f>IF(E117="","",IF(E117&gt;=0.5,"⚠ переоценивает себя",IF(D117&lt;3,"низкий уровень","")))</f>
        <v/>
      </c>
    </row>
    <row r="118">
      <c r="A118" s="19" t="inlineStr">
        <is>
          <t>РП-3 — Бутым Б. С. (ДЕМО)</t>
        </is>
      </c>
      <c r="B118" s="13" t="inlineStr">
        <is>
          <t>Ведение мониторинга проектов в подсистеме «Совместная работа» на ИТ-платформе</t>
        </is>
      </c>
      <c r="C118" s="20">
        <f>IF('Оценки'!C118="","",'Оценки'!C118)</f>
        <v/>
      </c>
      <c r="D118" s="20">
        <f>IF(COUNT('Оценки'!D118:H118)=0,"",AVERAGE('Оценки'!D118:H118))</f>
        <v/>
      </c>
      <c r="E118" s="20">
        <f>IF(OR(C118="",D118=""),"",C118-D118)</f>
        <v/>
      </c>
      <c r="F118" s="19">
        <f>IF(E118="","",IF(E118&gt;=0.5,"⚠ переоценивает себя",IF(D118&lt;3,"низкий уровень","")))</f>
        <v/>
      </c>
    </row>
    <row r="119">
      <c r="A119" s="21" t="inlineStr">
        <is>
          <t>РП-3 — Бутым Б. С. (ДЕМО)</t>
        </is>
      </c>
      <c r="B119" s="21" t="inlineStr">
        <is>
          <t>ИТОГО (среднее по всем компетенциям)</t>
        </is>
      </c>
      <c r="C119" s="22">
        <f>IF(COUNT(C82:C118)=0,"",AVERAGE(C82:C118))</f>
        <v/>
      </c>
      <c r="D119" s="22">
        <f>IF(COUNT(D82:D118)=0,"",AVERAGE(D82:D118))</f>
        <v/>
      </c>
      <c r="E119" s="22">
        <f>IF(OR(C119="",D119=""),"",C119-D119)</f>
        <v/>
      </c>
      <c r="F119" s="21">
        <f>IF(E119="","",IF(E119&gt;=0.5,"⚠ переоценивает себя",IF(D119&lt;3,"низкий уровень","")))</f>
        <v/>
      </c>
    </row>
    <row r="120">
      <c r="A120" s="19" t="n"/>
      <c r="B120" s="19" t="n"/>
      <c r="C120" s="20" t="n"/>
      <c r="D120" s="20" t="n"/>
      <c r="E120" s="20" t="n"/>
      <c r="F120" s="19" t="n"/>
    </row>
    <row r="121">
      <c r="A121" s="19" t="inlineStr">
        <is>
          <t>РП-4 — Маслаков А. В. (ДЕМО)</t>
        </is>
      </c>
      <c r="B121" s="9" t="inlineStr">
        <is>
          <t>Проведение оценки на соответствие предприятия обязательным критериям</t>
        </is>
      </c>
      <c r="C121" s="20">
        <f>IF('Оценки'!C121="","",'Оценки'!C121)</f>
        <v/>
      </c>
      <c r="D121" s="20">
        <f>IF(COUNT('Оценки'!D121:H121)=0,"",AVERAGE('Оценки'!D121:H121))</f>
        <v/>
      </c>
      <c r="E121" s="20">
        <f>IF(OR(C121="",D121=""),"",C121-D121)</f>
        <v/>
      </c>
      <c r="F121" s="19">
        <f>IF(E121="","",IF(E121&gt;=0.5,"⚠ переоценивает себя",IF(D121&lt;3,"низкий уровень","")))</f>
        <v/>
      </c>
    </row>
    <row r="122">
      <c r="A122" s="19" t="inlineStr">
        <is>
          <t>РП-4 — Маслаков А. В. (ДЕМО)</t>
        </is>
      </c>
      <c r="B122" s="9" t="inlineStr">
        <is>
          <t>Проведение оценки готовности руководства предприятия к участию в проекте (интервью)</t>
        </is>
      </c>
      <c r="C122" s="20">
        <f>IF('Оценки'!C122="","",'Оценки'!C122)</f>
        <v/>
      </c>
      <c r="D122" s="20">
        <f>IF(COUNT('Оценки'!D122:H122)=0,"",AVERAGE('Оценки'!D122:H122))</f>
        <v/>
      </c>
      <c r="E122" s="20">
        <f>IF(OR(C122="",D122=""),"",C122-D122)</f>
        <v/>
      </c>
      <c r="F122" s="19">
        <f>IF(E122="","",IF(E122&gt;=0.5,"⚠ переоценивает себя",IF(D122&lt;3,"низкий уровень","")))</f>
        <v/>
      </c>
    </row>
    <row r="123">
      <c r="A123" s="19" t="inlineStr">
        <is>
          <t>РП-4 — Маслаков А. В. (ДЕМО)</t>
        </is>
      </c>
      <c r="B123" s="9" t="inlineStr">
        <is>
          <t>Проведение визуальной оценки производственного процесса на предприятии (визит на площадку)</t>
        </is>
      </c>
      <c r="C123" s="20">
        <f>IF('Оценки'!C123="","",'Оценки'!C123)</f>
        <v/>
      </c>
      <c r="D123" s="20">
        <f>IF(COUNT('Оценки'!D123:H123)=0,"",AVERAGE('Оценки'!D123:H123))</f>
        <v/>
      </c>
      <c r="E123" s="20">
        <f>IF(OR(C123="",D123=""),"",C123-D123)</f>
        <v/>
      </c>
      <c r="F123" s="19">
        <f>IF(E123="","",IF(E123&gt;=0.5,"⚠ переоценивает себя",IF(D123&lt;3,"низкий уровень","")))</f>
        <v/>
      </c>
    </row>
    <row r="124">
      <c r="A124" s="19" t="inlineStr">
        <is>
          <t>РП-4 — Маслаков А. В. (ДЕМО)</t>
        </is>
      </c>
      <c r="B124" s="9" t="inlineStr">
        <is>
          <t>Вовлечение руководства предприятий в федеральный проект</t>
        </is>
      </c>
      <c r="C124" s="20">
        <f>IF('Оценки'!C124="","",'Оценки'!C124)</f>
        <v/>
      </c>
      <c r="D124" s="20">
        <f>IF(COUNT('Оценки'!D124:H124)=0,"",AVERAGE('Оценки'!D124:H124))</f>
        <v/>
      </c>
      <c r="E124" s="20">
        <f>IF(OR(C124="",D124=""),"",C124-D124)</f>
        <v/>
      </c>
      <c r="F124" s="19">
        <f>IF(E124="","",IF(E124&gt;=0.5,"⚠ переоценивает себя",IF(D124&lt;3,"низкий уровень","")))</f>
        <v/>
      </c>
    </row>
    <row r="125">
      <c r="A125" s="19" t="inlineStr">
        <is>
          <t>РП-4 — Маслаков А. В. (ДЕМО)</t>
        </is>
      </c>
      <c r="B125" s="9" t="inlineStr">
        <is>
          <t>Подписание соглашения о сотрудничестве между РЦК и предприятием</t>
        </is>
      </c>
      <c r="C125" s="20">
        <f>IF('Оценки'!C125="","",'Оценки'!C125)</f>
        <v/>
      </c>
      <c r="D125" s="20">
        <f>IF(COUNT('Оценки'!D125:H125)=0,"",AVERAGE('Оценки'!D125:H125))</f>
        <v/>
      </c>
      <c r="E125" s="20">
        <f>IF(OR(C125="",D125=""),"",C125-D125)</f>
        <v/>
      </c>
      <c r="F125" s="19">
        <f>IF(E125="","",IF(E125&gt;=0.5,"⚠ переоценивает себя",IF(D125&lt;3,"низкий уровень","")))</f>
        <v/>
      </c>
    </row>
    <row r="126">
      <c r="A126" s="19" t="inlineStr">
        <is>
          <t>РП-4 — Маслаков А. В. (ДЕМО)</t>
        </is>
      </c>
      <c r="B126" s="11" t="inlineStr">
        <is>
          <t>Реализация организационных вех программы</t>
        </is>
      </c>
      <c r="C126" s="20">
        <f>IF('Оценки'!C126="","",'Оценки'!C126)</f>
        <v/>
      </c>
      <c r="D126" s="20">
        <f>IF(COUNT('Оценки'!D126:H126)=0,"",AVERAGE('Оценки'!D126:H126))</f>
        <v/>
      </c>
      <c r="E126" s="20">
        <f>IF(OR(C126="",D126=""),"",C126-D126)</f>
        <v/>
      </c>
      <c r="F126" s="19">
        <f>IF(E126="","",IF(E126&gt;=0.5,"⚠ переоценивает себя",IF(D126&lt;3,"низкий уровень","")))</f>
        <v/>
      </c>
    </row>
    <row r="127">
      <c r="A127" s="19" t="inlineStr">
        <is>
          <t>РП-4 — Маслаков А. В. (ДЕМО)</t>
        </is>
      </c>
      <c r="B127" s="11" t="inlineStr">
        <is>
          <t>Формирование проектного офиса</t>
        </is>
      </c>
      <c r="C127" s="20">
        <f>IF('Оценки'!C127="","",'Оценки'!C127)</f>
        <v/>
      </c>
      <c r="D127" s="20">
        <f>IF(COUNT('Оценки'!D127:H127)=0,"",AVERAGE('Оценки'!D127:H127))</f>
        <v/>
      </c>
      <c r="E127" s="20">
        <f>IF(OR(C127="",D127=""),"",C127-D127)</f>
        <v/>
      </c>
      <c r="F127" s="19">
        <f>IF(E127="","",IF(E127&gt;=0.5,"⚠ переоценивает себя",IF(D127&lt;3,"низкий уровень","")))</f>
        <v/>
      </c>
    </row>
    <row r="128">
      <c r="A128" s="19" t="inlineStr">
        <is>
          <t>РП-4 — Маслаков А. В. (ДЕМО)</t>
        </is>
      </c>
      <c r="B128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28" s="20">
        <f>IF('Оценки'!C128="","",'Оценки'!C128)</f>
        <v/>
      </c>
      <c r="D128" s="20">
        <f>IF(COUNT('Оценки'!D128:H128)=0,"",AVERAGE('Оценки'!D128:H128))</f>
        <v/>
      </c>
      <c r="E128" s="20">
        <f>IF(OR(C128="",D128=""),"",C128-D128)</f>
        <v/>
      </c>
      <c r="F128" s="19">
        <f>IF(E128="","",IF(E128&gt;=0.5,"⚠ переоценивает себя",IF(D128&lt;3,"низкий уровень","")))</f>
        <v/>
      </c>
    </row>
    <row r="129">
      <c r="A129" s="19" t="inlineStr">
        <is>
          <t>РП-4 — Маслаков А. В. (ДЕМО)</t>
        </is>
      </c>
      <c r="B129" s="11" t="inlineStr">
        <is>
          <t>Выявление степени готовности предприятия к изменениям</t>
        </is>
      </c>
      <c r="C129" s="20">
        <f>IF('Оценки'!C129="","",'Оценки'!C129)</f>
        <v/>
      </c>
      <c r="D129" s="20">
        <f>IF(COUNT('Оценки'!D129:H129)=0,"",AVERAGE('Оценки'!D129:H129))</f>
        <v/>
      </c>
      <c r="E129" s="20">
        <f>IF(OR(C129="",D129=""),"",C129-D129)</f>
        <v/>
      </c>
      <c r="F129" s="19">
        <f>IF(E129="","",IF(E129&gt;=0.5,"⚠ переоценивает себя",IF(D129&lt;3,"низкий уровень","")))</f>
        <v/>
      </c>
    </row>
    <row r="130">
      <c r="A130" s="19" t="inlineStr">
        <is>
          <t>РП-4 — Маслаков А. В. (ДЕМО)</t>
        </is>
      </c>
      <c r="B130" s="11" t="inlineStr">
        <is>
          <t>Составление плана ключевых событий</t>
        </is>
      </c>
      <c r="C130" s="20">
        <f>IF('Оценки'!C130="","",'Оценки'!C130)</f>
        <v/>
      </c>
      <c r="D130" s="20">
        <f>IF(COUNT('Оценки'!D130:H130)=0,"",AVERAGE('Оценки'!D130:H130))</f>
        <v/>
      </c>
      <c r="E130" s="20">
        <f>IF(OR(C130="",D130=""),"",C130-D130)</f>
        <v/>
      </c>
      <c r="F130" s="19">
        <f>IF(E130="","",IF(E130&gt;=0.5,"⚠ переоценивает себя",IF(D130&lt;3,"низкий уровень","")))</f>
        <v/>
      </c>
    </row>
    <row r="131">
      <c r="A131" s="19" t="inlineStr">
        <is>
          <t>РП-4 — Маслаков А. В. (ДЕМО)</t>
        </is>
      </c>
      <c r="B131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31" s="20">
        <f>IF('Оценки'!C131="","",'Оценки'!C131)</f>
        <v/>
      </c>
      <c r="D131" s="20">
        <f>IF(COUNT('Оценки'!D131:H131)=0,"",AVERAGE('Оценки'!D131:H131))</f>
        <v/>
      </c>
      <c r="E131" s="20">
        <f>IF(OR(C131="",D131=""),"",C131-D131)</f>
        <v/>
      </c>
      <c r="F131" s="19">
        <f>IF(E131="","",IF(E131&gt;=0.5,"⚠ переоценивает себя",IF(D131&lt;3,"низкий уровень","")))</f>
        <v/>
      </c>
    </row>
    <row r="132">
      <c r="A132" s="19" t="inlineStr">
        <is>
          <t>РП-4 — Маслаков А. В. (ДЕМО)</t>
        </is>
      </c>
      <c r="B132" s="11" t="inlineStr">
        <is>
          <t>Проведение анализа показателей проектов повышения производительности труда</t>
        </is>
      </c>
      <c r="C132" s="20">
        <f>IF('Оценки'!C132="","",'Оценки'!C132)</f>
        <v/>
      </c>
      <c r="D132" s="20">
        <f>IF(COUNT('Оценки'!D132:H132)=0,"",AVERAGE('Оценки'!D132:H132))</f>
        <v/>
      </c>
      <c r="E132" s="20">
        <f>IF(OR(C132="",D132=""),"",C132-D132)</f>
        <v/>
      </c>
      <c r="F132" s="19">
        <f>IF(E132="","",IF(E132&gt;=0.5,"⚠ переоценивает себя",IF(D132&lt;3,"низкий уровень","")))</f>
        <v/>
      </c>
    </row>
    <row r="133">
      <c r="A133" s="19" t="inlineStr">
        <is>
          <t>РП-4 — Маслаков А. В. (ДЕМО)</t>
        </is>
      </c>
      <c r="B133" s="11" t="inlineStr">
        <is>
          <t>Создание карточки проекта</t>
        </is>
      </c>
      <c r="C133" s="20">
        <f>IF('Оценки'!C133="","",'Оценки'!C133)</f>
        <v/>
      </c>
      <c r="D133" s="20">
        <f>IF(COUNT('Оценки'!D133:H133)=0,"",AVERAGE('Оценки'!D133:H133))</f>
        <v/>
      </c>
      <c r="E133" s="20">
        <f>IF(OR(C133="",D133=""),"",C133-D133)</f>
        <v/>
      </c>
      <c r="F133" s="19">
        <f>IF(E133="","",IF(E133&gt;=0.5,"⚠ переоценивает себя",IF(D133&lt;3,"низкий уровень","")))</f>
        <v/>
      </c>
    </row>
    <row r="134">
      <c r="A134" s="19" t="inlineStr">
        <is>
          <t>РП-4 — Маслаков А. В. (ДЕМО)</t>
        </is>
      </c>
      <c r="B134" s="11" t="inlineStr">
        <is>
          <t>Создание информационного центра проекта</t>
        </is>
      </c>
      <c r="C134" s="20">
        <f>IF('Оценки'!C134="","",'Оценки'!C134)</f>
        <v/>
      </c>
      <c r="D134" s="20">
        <f>IF(COUNT('Оценки'!D134:H134)=0,"",AVERAGE('Оценки'!D134:H134))</f>
        <v/>
      </c>
      <c r="E134" s="20">
        <f>IF(OR(C134="",D134=""),"",C134-D134)</f>
        <v/>
      </c>
      <c r="F134" s="19">
        <f>IF(E134="","",IF(E134&gt;=0.5,"⚠ переоценивает себя",IF(D134&lt;3,"низкий уровень","")))</f>
        <v/>
      </c>
    </row>
    <row r="135">
      <c r="A135" s="19" t="inlineStr">
        <is>
          <t>РП-4 — Маслаков А. В. (ДЕМО)</t>
        </is>
      </c>
      <c r="B135" s="11" t="inlineStr">
        <is>
          <t>Создание эталонного участка</t>
        </is>
      </c>
      <c r="C135" s="20">
        <f>IF('Оценки'!C135="","",'Оценки'!C135)</f>
        <v/>
      </c>
      <c r="D135" s="20">
        <f>IF(COUNT('Оценки'!D135:H135)=0,"",AVERAGE('Оценки'!D135:H135))</f>
        <v/>
      </c>
      <c r="E135" s="20">
        <f>IF(OR(C135="",D135=""),"",C135-D135)</f>
        <v/>
      </c>
      <c r="F135" s="19">
        <f>IF(E135="","",IF(E135&gt;=0.5,"⚠ переоценивает себя",IF(D135&lt;3,"низкий уровень","")))</f>
        <v/>
      </c>
    </row>
    <row r="136">
      <c r="A136" s="19" t="inlineStr">
        <is>
          <t>РП-4 — Маслаков А. В. (ДЕМО)</t>
        </is>
      </c>
      <c r="B136" s="11" t="inlineStr">
        <is>
          <t>Проведение оценки уровня развития производственной системы предприятия</t>
        </is>
      </c>
      <c r="C136" s="20">
        <f>IF('Оценки'!C136="","",'Оценки'!C136)</f>
        <v/>
      </c>
      <c r="D136" s="20">
        <f>IF(COUNT('Оценки'!D136:H136)=0,"",AVERAGE('Оценки'!D136:H136))</f>
        <v/>
      </c>
      <c r="E136" s="20">
        <f>IF(OR(C136="",D136=""),"",C136-D136)</f>
        <v/>
      </c>
      <c r="F136" s="19">
        <f>IF(E136="","",IF(E136&gt;=0.5,"⚠ переоценивает себя",IF(D136&lt;3,"низкий уровень","")))</f>
        <v/>
      </c>
    </row>
    <row r="137">
      <c r="A137" s="19" t="inlineStr">
        <is>
          <t>РП-4 — Маслаков А. В. (ДЕМО)</t>
        </is>
      </c>
      <c r="B137" s="11" t="inlineStr">
        <is>
          <t>Внедрение информационных центров</t>
        </is>
      </c>
      <c r="C137" s="20">
        <f>IF('Оценки'!C137="","",'Оценки'!C137)</f>
        <v/>
      </c>
      <c r="D137" s="20">
        <f>IF(COUNT('Оценки'!D137:H137)=0,"",AVERAGE('Оценки'!D137:H137))</f>
        <v/>
      </c>
      <c r="E137" s="20">
        <f>IF(OR(C137="",D137=""),"",C137-D137)</f>
        <v/>
      </c>
      <c r="F137" s="19">
        <f>IF(E137="","",IF(E137&gt;=0.5,"⚠ переоценивает себя",IF(D137&lt;3,"низкий уровень","")))</f>
        <v/>
      </c>
    </row>
    <row r="138">
      <c r="A138" s="19" t="inlineStr">
        <is>
          <t>РП-4 — Маслаков А. В. (ДЕМО)</t>
        </is>
      </c>
      <c r="B138" s="11" t="inlineStr">
        <is>
          <t>Подготовка к проведению тренингов</t>
        </is>
      </c>
      <c r="C138" s="20">
        <f>IF('Оценки'!C138="","",'Оценки'!C138)</f>
        <v/>
      </c>
      <c r="D138" s="20">
        <f>IF(COUNT('Оценки'!D138:H138)=0,"",AVERAGE('Оценки'!D138:H138))</f>
        <v/>
      </c>
      <c r="E138" s="20">
        <f>IF(OR(C138="",D138=""),"",C138-D138)</f>
        <v/>
      </c>
      <c r="F138" s="19">
        <f>IF(E138="","",IF(E138&gt;=0.5,"⚠ переоценивает себя",IF(D138&lt;3,"низкий уровень","")))</f>
        <v/>
      </c>
    </row>
    <row r="139">
      <c r="A139" s="19" t="inlineStr">
        <is>
          <t>РП-4 — Маслаков А. В. (ДЕМО)</t>
        </is>
      </c>
      <c r="B139" s="11" t="inlineStr">
        <is>
          <t>Проведение тренингов по Бережливому производству</t>
        </is>
      </c>
      <c r="C139" s="20">
        <f>IF('Оценки'!C139="","",'Оценки'!C139)</f>
        <v/>
      </c>
      <c r="D139" s="20">
        <f>IF(COUNT('Оценки'!D139:H139)=0,"",AVERAGE('Оценки'!D139:H139))</f>
        <v/>
      </c>
      <c r="E139" s="20">
        <f>IF(OR(C139="",D139=""),"",C139-D139)</f>
        <v/>
      </c>
      <c r="F139" s="19">
        <f>IF(E139="","",IF(E139&gt;=0.5,"⚠ переоценивает себя",IF(D139&lt;3,"низкий уровень","")))</f>
        <v/>
      </c>
    </row>
    <row r="140">
      <c r="A140" s="19" t="inlineStr">
        <is>
          <t>РП-4 — Маслаков А. В. (ДЕМО)</t>
        </is>
      </c>
      <c r="B140" s="11" t="inlineStr">
        <is>
          <t>Мониторинг проводимого обучения</t>
        </is>
      </c>
      <c r="C140" s="20">
        <f>IF('Оценки'!C140="","",'Оценки'!C140)</f>
        <v/>
      </c>
      <c r="D140" s="20">
        <f>IF(COUNT('Оценки'!D140:H140)=0,"",AVERAGE('Оценки'!D140:H140))</f>
        <v/>
      </c>
      <c r="E140" s="20">
        <f>IF(OR(C140="",D140=""),"",C140-D140)</f>
        <v/>
      </c>
      <c r="F140" s="19">
        <f>IF(E140="","",IF(E140&gt;=0.5,"⚠ переоценивает себя",IF(D140&lt;3,"низкий уровень","")))</f>
        <v/>
      </c>
    </row>
    <row r="141">
      <c r="A141" s="19" t="inlineStr">
        <is>
          <t>РП-4 — Маслаков А. В. (ДЕМО)</t>
        </is>
      </c>
      <c r="B141" s="12" t="inlineStr">
        <is>
          <t>Картирование потоков и «Диаграмма спагетти»</t>
        </is>
      </c>
      <c r="C141" s="20">
        <f>IF('Оценки'!C141="","",'Оценки'!C141)</f>
        <v/>
      </c>
      <c r="D141" s="20">
        <f>IF(COUNT('Оценки'!D141:H141)=0,"",AVERAGE('Оценки'!D141:H141))</f>
        <v/>
      </c>
      <c r="E141" s="20">
        <f>IF(OR(C141="",D141=""),"",C141-D141)</f>
        <v/>
      </c>
      <c r="F141" s="19">
        <f>IF(E141="","",IF(E141&gt;=0.5,"⚠ переоценивает себя",IF(D141&lt;3,"низкий уровень","")))</f>
        <v/>
      </c>
    </row>
    <row r="142">
      <c r="A142" s="19" t="inlineStr">
        <is>
          <t>РП-4 — Маслаков А. В. (ДЕМО)</t>
        </is>
      </c>
      <c r="B142" s="12" t="inlineStr">
        <is>
          <t>Производственный анализ</t>
        </is>
      </c>
      <c r="C142" s="20">
        <f>IF('Оценки'!C142="","",'Оценки'!C142)</f>
        <v/>
      </c>
      <c r="D142" s="20">
        <f>IF(COUNT('Оценки'!D142:H142)=0,"",AVERAGE('Оценки'!D142:H142))</f>
        <v/>
      </c>
      <c r="E142" s="20">
        <f>IF(OR(C142="",D142=""),"",C142-D142)</f>
        <v/>
      </c>
      <c r="F142" s="19">
        <f>IF(E142="","",IF(E142&gt;=0.5,"⚠ переоценивает себя",IF(D142&lt;3,"низкий уровень","")))</f>
        <v/>
      </c>
    </row>
    <row r="143">
      <c r="A143" s="19" t="inlineStr">
        <is>
          <t>РП-4 — Маслаков А. В. (ДЕМО)</t>
        </is>
      </c>
      <c r="B143" s="12" t="inlineStr">
        <is>
          <t>Поток единичных изделий</t>
        </is>
      </c>
      <c r="C143" s="20">
        <f>IF('Оценки'!C143="","",'Оценки'!C143)</f>
        <v/>
      </c>
      <c r="D143" s="20">
        <f>IF(COUNT('Оценки'!D143:H143)=0,"",AVERAGE('Оценки'!D143:H143))</f>
        <v/>
      </c>
      <c r="E143" s="20">
        <f>IF(OR(C143="",D143=""),"",C143-D143)</f>
        <v/>
      </c>
      <c r="F143" s="19">
        <f>IF(E143="","",IF(E143&gt;=0.5,"⚠ переоценивает себя",IF(D143&lt;3,"низкий уровень","")))</f>
        <v/>
      </c>
    </row>
    <row r="144">
      <c r="A144" s="19" t="inlineStr">
        <is>
          <t>РП-4 — Маслаков А. В. (ДЕМО)</t>
        </is>
      </c>
      <c r="B144" s="12" t="inlineStr">
        <is>
          <t>Система «Канбан»</t>
        </is>
      </c>
      <c r="C144" s="20">
        <f>IF('Оценки'!C144="","",'Оценки'!C144)</f>
        <v/>
      </c>
      <c r="D144" s="20">
        <f>IF(COUNT('Оценки'!D144:H144)=0,"",AVERAGE('Оценки'!D144:H144))</f>
        <v/>
      </c>
      <c r="E144" s="20">
        <f>IF(OR(C144="",D144=""),"",C144-D144)</f>
        <v/>
      </c>
      <c r="F144" s="19">
        <f>IF(E144="","",IF(E144&gt;=0.5,"⚠ переоценивает себя",IF(D144&lt;3,"низкий уровень","")))</f>
        <v/>
      </c>
    </row>
    <row r="145">
      <c r="A145" s="19" t="inlineStr">
        <is>
          <t>РП-4 — Маслаков А. В. (ДЕМО)</t>
        </is>
      </c>
      <c r="B145" s="12" t="inlineStr">
        <is>
          <t>Стандартизированная работа</t>
        </is>
      </c>
      <c r="C145" s="20">
        <f>IF('Оценки'!C145="","",'Оценки'!C145)</f>
        <v/>
      </c>
      <c r="D145" s="20">
        <f>IF(COUNT('Оценки'!D145:H145)=0,"",AVERAGE('Оценки'!D145:H145))</f>
        <v/>
      </c>
      <c r="E145" s="20">
        <f>IF(OR(C145="",D145=""),"",C145-D145)</f>
        <v/>
      </c>
      <c r="F145" s="19">
        <f>IF(E145="","",IF(E145&gt;=0.5,"⚠ переоценивает себя",IF(D145&lt;3,"низкий уровень","")))</f>
        <v/>
      </c>
    </row>
    <row r="146">
      <c r="A146" s="19" t="inlineStr">
        <is>
          <t>РП-4 — Маслаков А. В. (ДЕМО)</t>
        </is>
      </c>
      <c r="B146" s="12" t="inlineStr">
        <is>
          <t>Методы поиска первопричин и решения проблем</t>
        </is>
      </c>
      <c r="C146" s="20">
        <f>IF('Оценки'!C146="","",'Оценки'!C146)</f>
        <v/>
      </c>
      <c r="D146" s="20">
        <f>IF(COUNT('Оценки'!D146:H146)=0,"",AVERAGE('Оценки'!D146:H146))</f>
        <v/>
      </c>
      <c r="E146" s="20">
        <f>IF(OR(C146="",D146=""),"",C146-D146)</f>
        <v/>
      </c>
      <c r="F146" s="19">
        <f>IF(E146="","",IF(E146&gt;=0.5,"⚠ переоценивает себя",IF(D146&lt;3,"низкий уровень","")))</f>
        <v/>
      </c>
    </row>
    <row r="147">
      <c r="A147" s="19" t="inlineStr">
        <is>
          <t>РП-4 — Маслаков А. В. (ДЕМО)</t>
        </is>
      </c>
      <c r="B147" s="12" t="inlineStr">
        <is>
          <t>Быстрая переналадка (SMED)</t>
        </is>
      </c>
      <c r="C147" s="20">
        <f>IF('Оценки'!C147="","",'Оценки'!C147)</f>
        <v/>
      </c>
      <c r="D147" s="20">
        <f>IF(COUNT('Оценки'!D147:H147)=0,"",AVERAGE('Оценки'!D147:H147))</f>
        <v/>
      </c>
      <c r="E147" s="20">
        <f>IF(OR(C147="",D147=""),"",C147-D147)</f>
        <v/>
      </c>
      <c r="F147" s="19">
        <f>IF(E147="","",IF(E147&gt;=0.5,"⚠ переоценивает себя",IF(D147&lt;3,"низкий уровень","")))</f>
        <v/>
      </c>
    </row>
    <row r="148">
      <c r="A148" s="19" t="inlineStr">
        <is>
          <t>РП-4 — Маслаков А. В. (ДЕМО)</t>
        </is>
      </c>
      <c r="B148" s="12" t="inlineStr">
        <is>
          <t>«Poka-Yoke» (защита от ошибок)</t>
        </is>
      </c>
      <c r="C148" s="20">
        <f>IF('Оценки'!C148="","",'Оценки'!C148)</f>
        <v/>
      </c>
      <c r="D148" s="20">
        <f>IF(COUNT('Оценки'!D148:H148)=0,"",AVERAGE('Оценки'!D148:H148))</f>
        <v/>
      </c>
      <c r="E148" s="20">
        <f>IF(OR(C148="",D148=""),"",C148-D148)</f>
        <v/>
      </c>
      <c r="F148" s="19">
        <f>IF(E148="","",IF(E148&gt;=0.5,"⚠ переоценивает себя",IF(D148&lt;3,"низкий уровень","")))</f>
        <v/>
      </c>
    </row>
    <row r="149">
      <c r="A149" s="19" t="inlineStr">
        <is>
          <t>РП-4 — Маслаков А. В. (ДЕМО)</t>
        </is>
      </c>
      <c r="B149" s="12" t="inlineStr">
        <is>
          <t>5С на производстве и в офисе</t>
        </is>
      </c>
      <c r="C149" s="20">
        <f>IF('Оценки'!C149="","",'Оценки'!C149)</f>
        <v/>
      </c>
      <c r="D149" s="20">
        <f>IF(COUNT('Оценки'!D149:H149)=0,"",AVERAGE('Оценки'!D149:H149))</f>
        <v/>
      </c>
      <c r="E149" s="20">
        <f>IF(OR(C149="",D149=""),"",C149-D149)</f>
        <v/>
      </c>
      <c r="F149" s="19">
        <f>IF(E149="","",IF(E149&gt;=0.5,"⚠ переоценивает себя",IF(D149&lt;3,"низкий уровень","")))</f>
        <v/>
      </c>
    </row>
    <row r="150">
      <c r="A150" s="19" t="inlineStr">
        <is>
          <t>РП-4 — Маслаков А. В. (ДЕМО)</t>
        </is>
      </c>
      <c r="B150" s="12" t="inlineStr">
        <is>
          <t>ОЕЕ — анализ эффективности оборудования</t>
        </is>
      </c>
      <c r="C150" s="20">
        <f>IF('Оценки'!C150="","",'Оценки'!C150)</f>
        <v/>
      </c>
      <c r="D150" s="20">
        <f>IF(COUNT('Оценки'!D150:H150)=0,"",AVERAGE('Оценки'!D150:H150))</f>
        <v/>
      </c>
      <c r="E150" s="20">
        <f>IF(OR(C150="",D150=""),"",C150-D150)</f>
        <v/>
      </c>
      <c r="F150" s="19">
        <f>IF(E150="","",IF(E150&gt;=0.5,"⚠ переоценивает себя",IF(D150&lt;3,"низкий уровень","")))</f>
        <v/>
      </c>
    </row>
    <row r="151">
      <c r="A151" s="19" t="inlineStr">
        <is>
          <t>РП-4 — Маслаков А. В. (ДЕМО)</t>
        </is>
      </c>
      <c r="B151" s="12" t="inlineStr">
        <is>
          <t>Автономное обслуживание оборудования</t>
        </is>
      </c>
      <c r="C151" s="20">
        <f>IF('Оценки'!C151="","",'Оценки'!C151)</f>
        <v/>
      </c>
      <c r="D151" s="20">
        <f>IF(COUNT('Оценки'!D151:H151)=0,"",AVERAGE('Оценки'!D151:H151))</f>
        <v/>
      </c>
      <c r="E151" s="20">
        <f>IF(OR(C151="",D151=""),"",C151-D151)</f>
        <v/>
      </c>
      <c r="F151" s="19">
        <f>IF(E151="","",IF(E151&gt;=0.5,"⚠ переоценивает себя",IF(D151&lt;3,"низкий уровень","")))</f>
        <v/>
      </c>
    </row>
    <row r="152">
      <c r="A152" s="19" t="inlineStr">
        <is>
          <t>РП-4 — Маслаков А. В. (ДЕМО)</t>
        </is>
      </c>
      <c r="B152" s="12" t="inlineStr">
        <is>
          <t>Управление запасами</t>
        </is>
      </c>
      <c r="C152" s="20">
        <f>IF('Оценки'!C152="","",'Оценки'!C152)</f>
        <v/>
      </c>
      <c r="D152" s="20">
        <f>IF(COUNT('Оценки'!D152:H152)=0,"",AVERAGE('Оценки'!D152:H152))</f>
        <v/>
      </c>
      <c r="E152" s="20">
        <f>IF(OR(C152="",D152=""),"",C152-D152)</f>
        <v/>
      </c>
      <c r="F152" s="19">
        <f>IF(E152="","",IF(E152&gt;=0.5,"⚠ переоценивает себя",IF(D152&lt;3,"низкий уровень","")))</f>
        <v/>
      </c>
    </row>
    <row r="153">
      <c r="A153" s="19" t="inlineStr">
        <is>
          <t>РП-4 — Маслаков А. В. (ДЕМО)</t>
        </is>
      </c>
      <c r="B153" s="13" t="inlineStr">
        <is>
          <t>Сбор и проверка данных от предприятий-участников, выработка корректирующих мероприятий</t>
        </is>
      </c>
      <c r="C153" s="20">
        <f>IF('Оценки'!C153="","",'Оценки'!C153)</f>
        <v/>
      </c>
      <c r="D153" s="20">
        <f>IF(COUNT('Оценки'!D153:H153)=0,"",AVERAGE('Оценки'!D153:H153))</f>
        <v/>
      </c>
      <c r="E153" s="20">
        <f>IF(OR(C153="",D153=""),"",C153-D153)</f>
        <v/>
      </c>
      <c r="F153" s="19">
        <f>IF(E153="","",IF(E153&gt;=0.5,"⚠ переоценивает себя",IF(D153&lt;3,"низкий уровень","")))</f>
        <v/>
      </c>
    </row>
    <row r="154">
      <c r="A154" s="19" t="inlineStr">
        <is>
          <t>РП-4 — Маслаков А. В. (ДЕМО)</t>
        </is>
      </c>
      <c r="B154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54" s="20">
        <f>IF('Оценки'!C154="","",'Оценки'!C154)</f>
        <v/>
      </c>
      <c r="D154" s="20">
        <f>IF(COUNT('Оценки'!D154:H154)=0,"",AVERAGE('Оценки'!D154:H154))</f>
        <v/>
      </c>
      <c r="E154" s="20">
        <f>IF(OR(C154="",D154=""),"",C154-D154)</f>
        <v/>
      </c>
      <c r="F154" s="19">
        <f>IF(E154="","",IF(E154&gt;=0.5,"⚠ переоценивает себя",IF(D154&lt;3,"низкий уровень","")))</f>
        <v/>
      </c>
    </row>
    <row r="155">
      <c r="A155" s="19" t="inlineStr">
        <is>
          <t>РП-4 — Маслаков А. В. (ДЕМО)</t>
        </is>
      </c>
      <c r="B155" s="13" t="inlineStr">
        <is>
          <t>Поиск и распространение лучших практик по производительности труда</t>
        </is>
      </c>
      <c r="C155" s="20">
        <f>IF('Оценки'!C155="","",'Оценки'!C155)</f>
        <v/>
      </c>
      <c r="D155" s="20">
        <f>IF(COUNT('Оценки'!D155:H155)=0,"",AVERAGE('Оценки'!D155:H155))</f>
        <v/>
      </c>
      <c r="E155" s="20">
        <f>IF(OR(C155="",D155=""),"",C155-D155)</f>
        <v/>
      </c>
      <c r="F155" s="19">
        <f>IF(E155="","",IF(E155&gt;=0.5,"⚠ переоценивает себя",IF(D155&lt;3,"низкий уровень","")))</f>
        <v/>
      </c>
    </row>
    <row r="156">
      <c r="A156" s="19" t="inlineStr">
        <is>
          <t>РП-4 — Маслаков А. В. (ДЕМО)</t>
        </is>
      </c>
      <c r="B156" s="13" t="inlineStr">
        <is>
          <t>Организация работы с предложениями по улучшению (ППУ)</t>
        </is>
      </c>
      <c r="C156" s="20">
        <f>IF('Оценки'!C156="","",'Оценки'!C156)</f>
        <v/>
      </c>
      <c r="D156" s="20">
        <f>IF(COUNT('Оценки'!D156:H156)=0,"",AVERAGE('Оценки'!D156:H156))</f>
        <v/>
      </c>
      <c r="E156" s="20">
        <f>IF(OR(C156="",D156=""),"",C156-D156)</f>
        <v/>
      </c>
      <c r="F156" s="19">
        <f>IF(E156="","",IF(E156&gt;=0.5,"⚠ переоценивает себя",IF(D156&lt;3,"низкий уровень","")))</f>
        <v/>
      </c>
    </row>
    <row r="157">
      <c r="A157" s="19" t="inlineStr">
        <is>
          <t>РП-4 — Маслаков А. В. (ДЕМО)</t>
        </is>
      </c>
      <c r="B157" s="13" t="inlineStr">
        <is>
          <t>Ведение мониторинга проектов в подсистеме «Совместная работа» на ИТ-платформе</t>
        </is>
      </c>
      <c r="C157" s="20">
        <f>IF('Оценки'!C157="","",'Оценки'!C157)</f>
        <v/>
      </c>
      <c r="D157" s="20">
        <f>IF(COUNT('Оценки'!D157:H157)=0,"",AVERAGE('Оценки'!D157:H157))</f>
        <v/>
      </c>
      <c r="E157" s="20">
        <f>IF(OR(C157="",D157=""),"",C157-D157)</f>
        <v/>
      </c>
      <c r="F157" s="19">
        <f>IF(E157="","",IF(E157&gt;=0.5,"⚠ переоценивает себя",IF(D157&lt;3,"низкий уровень","")))</f>
        <v/>
      </c>
    </row>
    <row r="158">
      <c r="A158" s="21" t="inlineStr">
        <is>
          <t>РП-4 — Маслаков А. В. (ДЕМО)</t>
        </is>
      </c>
      <c r="B158" s="21" t="inlineStr">
        <is>
          <t>ИТОГО (среднее по всем компетенциям)</t>
        </is>
      </c>
      <c r="C158" s="22">
        <f>IF(COUNT(C121:C157)=0,"",AVERAGE(C121:C157))</f>
        <v/>
      </c>
      <c r="D158" s="22">
        <f>IF(COUNT(D121:D157)=0,"",AVERAGE(D121:D157))</f>
        <v/>
      </c>
      <c r="E158" s="22">
        <f>IF(OR(C158="",D158=""),"",C158-D158)</f>
        <v/>
      </c>
      <c r="F158" s="21">
        <f>IF(E158="","",IF(E158&gt;=0.5,"⚠ переоценивает себя",IF(D158&lt;3,"низкий уровень","")))</f>
        <v/>
      </c>
    </row>
    <row r="159">
      <c r="A159" s="19" t="n"/>
      <c r="B159" s="19" t="n"/>
      <c r="C159" s="20" t="n"/>
      <c r="D159" s="20" t="n"/>
      <c r="E159" s="20" t="n"/>
      <c r="F159" s="19" t="n"/>
    </row>
    <row r="160">
      <c r="A160" s="19" t="inlineStr">
        <is>
          <t>РП-5 — Яковлев А. В. (ДЕМО)</t>
        </is>
      </c>
      <c r="B160" s="9" t="inlineStr">
        <is>
          <t>Проведение оценки на соответствие предприятия обязательным критериям</t>
        </is>
      </c>
      <c r="C160" s="20">
        <f>IF('Оценки'!C160="","",'Оценки'!C160)</f>
        <v/>
      </c>
      <c r="D160" s="20">
        <f>IF(COUNT('Оценки'!D160:H160)=0,"",AVERAGE('Оценки'!D160:H160))</f>
        <v/>
      </c>
      <c r="E160" s="20">
        <f>IF(OR(C160="",D160=""),"",C160-D160)</f>
        <v/>
      </c>
      <c r="F160" s="19">
        <f>IF(E160="","",IF(E160&gt;=0.5,"⚠ переоценивает себя",IF(D160&lt;3,"низкий уровень","")))</f>
        <v/>
      </c>
    </row>
    <row r="161">
      <c r="A161" s="19" t="inlineStr">
        <is>
          <t>РП-5 — Яковлев А. В. (ДЕМО)</t>
        </is>
      </c>
      <c r="B161" s="9" t="inlineStr">
        <is>
          <t>Проведение оценки готовности руководства предприятия к участию в проекте (интервью)</t>
        </is>
      </c>
      <c r="C161" s="20">
        <f>IF('Оценки'!C161="","",'Оценки'!C161)</f>
        <v/>
      </c>
      <c r="D161" s="20">
        <f>IF(COUNT('Оценки'!D161:H161)=0,"",AVERAGE('Оценки'!D161:H161))</f>
        <v/>
      </c>
      <c r="E161" s="20">
        <f>IF(OR(C161="",D161=""),"",C161-D161)</f>
        <v/>
      </c>
      <c r="F161" s="19">
        <f>IF(E161="","",IF(E161&gt;=0.5,"⚠ переоценивает себя",IF(D161&lt;3,"низкий уровень","")))</f>
        <v/>
      </c>
    </row>
    <row r="162">
      <c r="A162" s="19" t="inlineStr">
        <is>
          <t>РП-5 — Яковлев А. В. (ДЕМО)</t>
        </is>
      </c>
      <c r="B162" s="9" t="inlineStr">
        <is>
          <t>Проведение визуальной оценки производственного процесса на предприятии (визит на площадку)</t>
        </is>
      </c>
      <c r="C162" s="20">
        <f>IF('Оценки'!C162="","",'Оценки'!C162)</f>
        <v/>
      </c>
      <c r="D162" s="20">
        <f>IF(COUNT('Оценки'!D162:H162)=0,"",AVERAGE('Оценки'!D162:H162))</f>
        <v/>
      </c>
      <c r="E162" s="20">
        <f>IF(OR(C162="",D162=""),"",C162-D162)</f>
        <v/>
      </c>
      <c r="F162" s="19">
        <f>IF(E162="","",IF(E162&gt;=0.5,"⚠ переоценивает себя",IF(D162&lt;3,"низкий уровень","")))</f>
        <v/>
      </c>
    </row>
    <row r="163">
      <c r="A163" s="19" t="inlineStr">
        <is>
          <t>РП-5 — Яковлев А. В. (ДЕМО)</t>
        </is>
      </c>
      <c r="B163" s="9" t="inlineStr">
        <is>
          <t>Вовлечение руководства предприятий в федеральный проект</t>
        </is>
      </c>
      <c r="C163" s="20">
        <f>IF('Оценки'!C163="","",'Оценки'!C163)</f>
        <v/>
      </c>
      <c r="D163" s="20">
        <f>IF(COUNT('Оценки'!D163:H163)=0,"",AVERAGE('Оценки'!D163:H163))</f>
        <v/>
      </c>
      <c r="E163" s="20">
        <f>IF(OR(C163="",D163=""),"",C163-D163)</f>
        <v/>
      </c>
      <c r="F163" s="19">
        <f>IF(E163="","",IF(E163&gt;=0.5,"⚠ переоценивает себя",IF(D163&lt;3,"низкий уровень","")))</f>
        <v/>
      </c>
    </row>
    <row r="164">
      <c r="A164" s="19" t="inlineStr">
        <is>
          <t>РП-5 — Яковлев А. В. (ДЕМО)</t>
        </is>
      </c>
      <c r="B164" s="9" t="inlineStr">
        <is>
          <t>Подписание соглашения о сотрудничестве между РЦК и предприятием</t>
        </is>
      </c>
      <c r="C164" s="20">
        <f>IF('Оценки'!C164="","",'Оценки'!C164)</f>
        <v/>
      </c>
      <c r="D164" s="20">
        <f>IF(COUNT('Оценки'!D164:H164)=0,"",AVERAGE('Оценки'!D164:H164))</f>
        <v/>
      </c>
      <c r="E164" s="20">
        <f>IF(OR(C164="",D164=""),"",C164-D164)</f>
        <v/>
      </c>
      <c r="F164" s="19">
        <f>IF(E164="","",IF(E164&gt;=0.5,"⚠ переоценивает себя",IF(D164&lt;3,"низкий уровень","")))</f>
        <v/>
      </c>
    </row>
    <row r="165">
      <c r="A165" s="19" t="inlineStr">
        <is>
          <t>РП-5 — Яковлев А. В. (ДЕМО)</t>
        </is>
      </c>
      <c r="B165" s="11" t="inlineStr">
        <is>
          <t>Реализация организационных вех программы</t>
        </is>
      </c>
      <c r="C165" s="20">
        <f>IF('Оценки'!C165="","",'Оценки'!C165)</f>
        <v/>
      </c>
      <c r="D165" s="20">
        <f>IF(COUNT('Оценки'!D165:H165)=0,"",AVERAGE('Оценки'!D165:H165))</f>
        <v/>
      </c>
      <c r="E165" s="20">
        <f>IF(OR(C165="",D165=""),"",C165-D165)</f>
        <v/>
      </c>
      <c r="F165" s="19">
        <f>IF(E165="","",IF(E165&gt;=0.5,"⚠ переоценивает себя",IF(D165&lt;3,"низкий уровень","")))</f>
        <v/>
      </c>
    </row>
    <row r="166">
      <c r="A166" s="19" t="inlineStr">
        <is>
          <t>РП-5 — Яковлев А. В. (ДЕМО)</t>
        </is>
      </c>
      <c r="B166" s="11" t="inlineStr">
        <is>
          <t>Формирование проектного офиса</t>
        </is>
      </c>
      <c r="C166" s="20">
        <f>IF('Оценки'!C166="","",'Оценки'!C166)</f>
        <v/>
      </c>
      <c r="D166" s="20">
        <f>IF(COUNT('Оценки'!D166:H166)=0,"",AVERAGE('Оценки'!D166:H166))</f>
        <v/>
      </c>
      <c r="E166" s="20">
        <f>IF(OR(C166="",D166=""),"",C166-D166)</f>
        <v/>
      </c>
      <c r="F166" s="19">
        <f>IF(E166="","",IF(E166&gt;=0.5,"⚠ переоценивает себя",IF(D166&lt;3,"низкий уровень","")))</f>
        <v/>
      </c>
    </row>
    <row r="167">
      <c r="A167" s="19" t="inlineStr">
        <is>
          <t>РП-5 — Яковлев А. В. (ДЕМО)</t>
        </is>
      </c>
      <c r="B167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67" s="20">
        <f>IF('Оценки'!C167="","",'Оценки'!C167)</f>
        <v/>
      </c>
      <c r="D167" s="20">
        <f>IF(COUNT('Оценки'!D167:H167)=0,"",AVERAGE('Оценки'!D167:H167))</f>
        <v/>
      </c>
      <c r="E167" s="20">
        <f>IF(OR(C167="",D167=""),"",C167-D167)</f>
        <v/>
      </c>
      <c r="F167" s="19">
        <f>IF(E167="","",IF(E167&gt;=0.5,"⚠ переоценивает себя",IF(D167&lt;3,"низкий уровень","")))</f>
        <v/>
      </c>
    </row>
    <row r="168">
      <c r="A168" s="19" t="inlineStr">
        <is>
          <t>РП-5 — Яковлев А. В. (ДЕМО)</t>
        </is>
      </c>
      <c r="B168" s="11" t="inlineStr">
        <is>
          <t>Выявление степени готовности предприятия к изменениям</t>
        </is>
      </c>
      <c r="C168" s="20">
        <f>IF('Оценки'!C168="","",'Оценки'!C168)</f>
        <v/>
      </c>
      <c r="D168" s="20">
        <f>IF(COUNT('Оценки'!D168:H168)=0,"",AVERAGE('Оценки'!D168:H168))</f>
        <v/>
      </c>
      <c r="E168" s="20">
        <f>IF(OR(C168="",D168=""),"",C168-D168)</f>
        <v/>
      </c>
      <c r="F168" s="19">
        <f>IF(E168="","",IF(E168&gt;=0.5,"⚠ переоценивает себя",IF(D168&lt;3,"низкий уровень","")))</f>
        <v/>
      </c>
    </row>
    <row r="169">
      <c r="A169" s="19" t="inlineStr">
        <is>
          <t>РП-5 — Яковлев А. В. (ДЕМО)</t>
        </is>
      </c>
      <c r="B169" s="11" t="inlineStr">
        <is>
          <t>Составление плана ключевых событий</t>
        </is>
      </c>
      <c r="C169" s="20">
        <f>IF('Оценки'!C169="","",'Оценки'!C169)</f>
        <v/>
      </c>
      <c r="D169" s="20">
        <f>IF(COUNT('Оценки'!D169:H169)=0,"",AVERAGE('Оценки'!D169:H169))</f>
        <v/>
      </c>
      <c r="E169" s="20">
        <f>IF(OR(C169="",D169=""),"",C169-D169)</f>
        <v/>
      </c>
      <c r="F169" s="19">
        <f>IF(E169="","",IF(E169&gt;=0.5,"⚠ переоценивает себя",IF(D169&lt;3,"низкий уровень","")))</f>
        <v/>
      </c>
    </row>
    <row r="170">
      <c r="A170" s="19" t="inlineStr">
        <is>
          <t>РП-5 — Яковлев А. В. (ДЕМО)</t>
        </is>
      </c>
      <c r="B170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70" s="20">
        <f>IF('Оценки'!C170="","",'Оценки'!C170)</f>
        <v/>
      </c>
      <c r="D170" s="20">
        <f>IF(COUNT('Оценки'!D170:H170)=0,"",AVERAGE('Оценки'!D170:H170))</f>
        <v/>
      </c>
      <c r="E170" s="20">
        <f>IF(OR(C170="",D170=""),"",C170-D170)</f>
        <v/>
      </c>
      <c r="F170" s="19">
        <f>IF(E170="","",IF(E170&gt;=0.5,"⚠ переоценивает себя",IF(D170&lt;3,"низкий уровень","")))</f>
        <v/>
      </c>
    </row>
    <row r="171">
      <c r="A171" s="19" t="inlineStr">
        <is>
          <t>РП-5 — Яковлев А. В. (ДЕМО)</t>
        </is>
      </c>
      <c r="B171" s="11" t="inlineStr">
        <is>
          <t>Проведение анализа показателей проектов повышения производительности труда</t>
        </is>
      </c>
      <c r="C171" s="20">
        <f>IF('Оценки'!C171="","",'Оценки'!C171)</f>
        <v/>
      </c>
      <c r="D171" s="20">
        <f>IF(COUNT('Оценки'!D171:H171)=0,"",AVERAGE('Оценки'!D171:H171))</f>
        <v/>
      </c>
      <c r="E171" s="20">
        <f>IF(OR(C171="",D171=""),"",C171-D171)</f>
        <v/>
      </c>
      <c r="F171" s="19">
        <f>IF(E171="","",IF(E171&gt;=0.5,"⚠ переоценивает себя",IF(D171&lt;3,"низкий уровень","")))</f>
        <v/>
      </c>
    </row>
    <row r="172">
      <c r="A172" s="19" t="inlineStr">
        <is>
          <t>РП-5 — Яковлев А. В. (ДЕМО)</t>
        </is>
      </c>
      <c r="B172" s="11" t="inlineStr">
        <is>
          <t>Создание карточки проекта</t>
        </is>
      </c>
      <c r="C172" s="20">
        <f>IF('Оценки'!C172="","",'Оценки'!C172)</f>
        <v/>
      </c>
      <c r="D172" s="20">
        <f>IF(COUNT('Оценки'!D172:H172)=0,"",AVERAGE('Оценки'!D172:H172))</f>
        <v/>
      </c>
      <c r="E172" s="20">
        <f>IF(OR(C172="",D172=""),"",C172-D172)</f>
        <v/>
      </c>
      <c r="F172" s="19">
        <f>IF(E172="","",IF(E172&gt;=0.5,"⚠ переоценивает себя",IF(D172&lt;3,"низкий уровень","")))</f>
        <v/>
      </c>
    </row>
    <row r="173">
      <c r="A173" s="19" t="inlineStr">
        <is>
          <t>РП-5 — Яковлев А. В. (ДЕМО)</t>
        </is>
      </c>
      <c r="B173" s="11" t="inlineStr">
        <is>
          <t>Создание информационного центра проекта</t>
        </is>
      </c>
      <c r="C173" s="20">
        <f>IF('Оценки'!C173="","",'Оценки'!C173)</f>
        <v/>
      </c>
      <c r="D173" s="20">
        <f>IF(COUNT('Оценки'!D173:H173)=0,"",AVERAGE('Оценки'!D173:H173))</f>
        <v/>
      </c>
      <c r="E173" s="20">
        <f>IF(OR(C173="",D173=""),"",C173-D173)</f>
        <v/>
      </c>
      <c r="F173" s="19">
        <f>IF(E173="","",IF(E173&gt;=0.5,"⚠ переоценивает себя",IF(D173&lt;3,"низкий уровень","")))</f>
        <v/>
      </c>
    </row>
    <row r="174">
      <c r="A174" s="19" t="inlineStr">
        <is>
          <t>РП-5 — Яковлев А. В. (ДЕМО)</t>
        </is>
      </c>
      <c r="B174" s="11" t="inlineStr">
        <is>
          <t>Создание эталонного участка</t>
        </is>
      </c>
      <c r="C174" s="20">
        <f>IF('Оценки'!C174="","",'Оценки'!C174)</f>
        <v/>
      </c>
      <c r="D174" s="20">
        <f>IF(COUNT('Оценки'!D174:H174)=0,"",AVERAGE('Оценки'!D174:H174))</f>
        <v/>
      </c>
      <c r="E174" s="20">
        <f>IF(OR(C174="",D174=""),"",C174-D174)</f>
        <v/>
      </c>
      <c r="F174" s="19">
        <f>IF(E174="","",IF(E174&gt;=0.5,"⚠ переоценивает себя",IF(D174&lt;3,"низкий уровень","")))</f>
        <v/>
      </c>
    </row>
    <row r="175">
      <c r="A175" s="19" t="inlineStr">
        <is>
          <t>РП-5 — Яковлев А. В. (ДЕМО)</t>
        </is>
      </c>
      <c r="B175" s="11" t="inlineStr">
        <is>
          <t>Проведение оценки уровня развития производственной системы предприятия</t>
        </is>
      </c>
      <c r="C175" s="20">
        <f>IF('Оценки'!C175="","",'Оценки'!C175)</f>
        <v/>
      </c>
      <c r="D175" s="20">
        <f>IF(COUNT('Оценки'!D175:H175)=0,"",AVERAGE('Оценки'!D175:H175))</f>
        <v/>
      </c>
      <c r="E175" s="20">
        <f>IF(OR(C175="",D175=""),"",C175-D175)</f>
        <v/>
      </c>
      <c r="F175" s="19">
        <f>IF(E175="","",IF(E175&gt;=0.5,"⚠ переоценивает себя",IF(D175&lt;3,"низкий уровень","")))</f>
        <v/>
      </c>
    </row>
    <row r="176">
      <c r="A176" s="19" t="inlineStr">
        <is>
          <t>РП-5 — Яковлев А. В. (ДЕМО)</t>
        </is>
      </c>
      <c r="B176" s="11" t="inlineStr">
        <is>
          <t>Внедрение информационных центров</t>
        </is>
      </c>
      <c r="C176" s="20">
        <f>IF('Оценки'!C176="","",'Оценки'!C176)</f>
        <v/>
      </c>
      <c r="D176" s="20">
        <f>IF(COUNT('Оценки'!D176:H176)=0,"",AVERAGE('Оценки'!D176:H176))</f>
        <v/>
      </c>
      <c r="E176" s="20">
        <f>IF(OR(C176="",D176=""),"",C176-D176)</f>
        <v/>
      </c>
      <c r="F176" s="19">
        <f>IF(E176="","",IF(E176&gt;=0.5,"⚠ переоценивает себя",IF(D176&lt;3,"низкий уровень","")))</f>
        <v/>
      </c>
    </row>
    <row r="177">
      <c r="A177" s="19" t="inlineStr">
        <is>
          <t>РП-5 — Яковлев А. В. (ДЕМО)</t>
        </is>
      </c>
      <c r="B177" s="11" t="inlineStr">
        <is>
          <t>Подготовка к проведению тренингов</t>
        </is>
      </c>
      <c r="C177" s="20">
        <f>IF('Оценки'!C177="","",'Оценки'!C177)</f>
        <v/>
      </c>
      <c r="D177" s="20">
        <f>IF(COUNT('Оценки'!D177:H177)=0,"",AVERAGE('Оценки'!D177:H177))</f>
        <v/>
      </c>
      <c r="E177" s="20">
        <f>IF(OR(C177="",D177=""),"",C177-D177)</f>
        <v/>
      </c>
      <c r="F177" s="19">
        <f>IF(E177="","",IF(E177&gt;=0.5,"⚠ переоценивает себя",IF(D177&lt;3,"низкий уровень","")))</f>
        <v/>
      </c>
    </row>
    <row r="178">
      <c r="A178" s="19" t="inlineStr">
        <is>
          <t>РП-5 — Яковлев А. В. (ДЕМО)</t>
        </is>
      </c>
      <c r="B178" s="11" t="inlineStr">
        <is>
          <t>Проведение тренингов по Бережливому производству</t>
        </is>
      </c>
      <c r="C178" s="20">
        <f>IF('Оценки'!C178="","",'Оценки'!C178)</f>
        <v/>
      </c>
      <c r="D178" s="20">
        <f>IF(COUNT('Оценки'!D178:H178)=0,"",AVERAGE('Оценки'!D178:H178))</f>
        <v/>
      </c>
      <c r="E178" s="20">
        <f>IF(OR(C178="",D178=""),"",C178-D178)</f>
        <v/>
      </c>
      <c r="F178" s="19">
        <f>IF(E178="","",IF(E178&gt;=0.5,"⚠ переоценивает себя",IF(D178&lt;3,"низкий уровень","")))</f>
        <v/>
      </c>
    </row>
    <row r="179">
      <c r="A179" s="19" t="inlineStr">
        <is>
          <t>РП-5 — Яковлев А. В. (ДЕМО)</t>
        </is>
      </c>
      <c r="B179" s="11" t="inlineStr">
        <is>
          <t>Мониторинг проводимого обучения</t>
        </is>
      </c>
      <c r="C179" s="20">
        <f>IF('Оценки'!C179="","",'Оценки'!C179)</f>
        <v/>
      </c>
      <c r="D179" s="20">
        <f>IF(COUNT('Оценки'!D179:H179)=0,"",AVERAGE('Оценки'!D179:H179))</f>
        <v/>
      </c>
      <c r="E179" s="20">
        <f>IF(OR(C179="",D179=""),"",C179-D179)</f>
        <v/>
      </c>
      <c r="F179" s="19">
        <f>IF(E179="","",IF(E179&gt;=0.5,"⚠ переоценивает себя",IF(D179&lt;3,"низкий уровень","")))</f>
        <v/>
      </c>
    </row>
    <row r="180">
      <c r="A180" s="19" t="inlineStr">
        <is>
          <t>РП-5 — Яковлев А. В. (ДЕМО)</t>
        </is>
      </c>
      <c r="B180" s="12" t="inlineStr">
        <is>
          <t>Картирование потоков и «Диаграмма спагетти»</t>
        </is>
      </c>
      <c r="C180" s="20">
        <f>IF('Оценки'!C180="","",'Оценки'!C180)</f>
        <v/>
      </c>
      <c r="D180" s="20">
        <f>IF(COUNT('Оценки'!D180:H180)=0,"",AVERAGE('Оценки'!D180:H180))</f>
        <v/>
      </c>
      <c r="E180" s="20">
        <f>IF(OR(C180="",D180=""),"",C180-D180)</f>
        <v/>
      </c>
      <c r="F180" s="19">
        <f>IF(E180="","",IF(E180&gt;=0.5,"⚠ переоценивает себя",IF(D180&lt;3,"низкий уровень","")))</f>
        <v/>
      </c>
    </row>
    <row r="181">
      <c r="A181" s="19" t="inlineStr">
        <is>
          <t>РП-5 — Яковлев А. В. (ДЕМО)</t>
        </is>
      </c>
      <c r="B181" s="12" t="inlineStr">
        <is>
          <t>Производственный анализ</t>
        </is>
      </c>
      <c r="C181" s="20">
        <f>IF('Оценки'!C181="","",'Оценки'!C181)</f>
        <v/>
      </c>
      <c r="D181" s="20">
        <f>IF(COUNT('Оценки'!D181:H181)=0,"",AVERAGE('Оценки'!D181:H181))</f>
        <v/>
      </c>
      <c r="E181" s="20">
        <f>IF(OR(C181="",D181=""),"",C181-D181)</f>
        <v/>
      </c>
      <c r="F181" s="19">
        <f>IF(E181="","",IF(E181&gt;=0.5,"⚠ переоценивает себя",IF(D181&lt;3,"низкий уровень","")))</f>
        <v/>
      </c>
    </row>
    <row r="182">
      <c r="A182" s="19" t="inlineStr">
        <is>
          <t>РП-5 — Яковлев А. В. (ДЕМО)</t>
        </is>
      </c>
      <c r="B182" s="12" t="inlineStr">
        <is>
          <t>Поток единичных изделий</t>
        </is>
      </c>
      <c r="C182" s="20">
        <f>IF('Оценки'!C182="","",'Оценки'!C182)</f>
        <v/>
      </c>
      <c r="D182" s="20">
        <f>IF(COUNT('Оценки'!D182:H182)=0,"",AVERAGE('Оценки'!D182:H182))</f>
        <v/>
      </c>
      <c r="E182" s="20">
        <f>IF(OR(C182="",D182=""),"",C182-D182)</f>
        <v/>
      </c>
      <c r="F182" s="19">
        <f>IF(E182="","",IF(E182&gt;=0.5,"⚠ переоценивает себя",IF(D182&lt;3,"низкий уровень","")))</f>
        <v/>
      </c>
    </row>
    <row r="183">
      <c r="A183" s="19" t="inlineStr">
        <is>
          <t>РП-5 — Яковлев А. В. (ДЕМО)</t>
        </is>
      </c>
      <c r="B183" s="12" t="inlineStr">
        <is>
          <t>Система «Канбан»</t>
        </is>
      </c>
      <c r="C183" s="20">
        <f>IF('Оценки'!C183="","",'Оценки'!C183)</f>
        <v/>
      </c>
      <c r="D183" s="20">
        <f>IF(COUNT('Оценки'!D183:H183)=0,"",AVERAGE('Оценки'!D183:H183))</f>
        <v/>
      </c>
      <c r="E183" s="20">
        <f>IF(OR(C183="",D183=""),"",C183-D183)</f>
        <v/>
      </c>
      <c r="F183" s="19">
        <f>IF(E183="","",IF(E183&gt;=0.5,"⚠ переоценивает себя",IF(D183&lt;3,"низкий уровень","")))</f>
        <v/>
      </c>
    </row>
    <row r="184">
      <c r="A184" s="19" t="inlineStr">
        <is>
          <t>РП-5 — Яковлев А. В. (ДЕМО)</t>
        </is>
      </c>
      <c r="B184" s="12" t="inlineStr">
        <is>
          <t>Стандартизированная работа</t>
        </is>
      </c>
      <c r="C184" s="20">
        <f>IF('Оценки'!C184="","",'Оценки'!C184)</f>
        <v/>
      </c>
      <c r="D184" s="20">
        <f>IF(COUNT('Оценки'!D184:H184)=0,"",AVERAGE('Оценки'!D184:H184))</f>
        <v/>
      </c>
      <c r="E184" s="20">
        <f>IF(OR(C184="",D184=""),"",C184-D184)</f>
        <v/>
      </c>
      <c r="F184" s="19">
        <f>IF(E184="","",IF(E184&gt;=0.5,"⚠ переоценивает себя",IF(D184&lt;3,"низкий уровень","")))</f>
        <v/>
      </c>
    </row>
    <row r="185">
      <c r="A185" s="19" t="inlineStr">
        <is>
          <t>РП-5 — Яковлев А. В. (ДЕМО)</t>
        </is>
      </c>
      <c r="B185" s="12" t="inlineStr">
        <is>
          <t>Методы поиска первопричин и решения проблем</t>
        </is>
      </c>
      <c r="C185" s="20">
        <f>IF('Оценки'!C185="","",'Оценки'!C185)</f>
        <v/>
      </c>
      <c r="D185" s="20">
        <f>IF(COUNT('Оценки'!D185:H185)=0,"",AVERAGE('Оценки'!D185:H185))</f>
        <v/>
      </c>
      <c r="E185" s="20">
        <f>IF(OR(C185="",D185=""),"",C185-D185)</f>
        <v/>
      </c>
      <c r="F185" s="19">
        <f>IF(E185="","",IF(E185&gt;=0.5,"⚠ переоценивает себя",IF(D185&lt;3,"низкий уровень","")))</f>
        <v/>
      </c>
    </row>
    <row r="186">
      <c r="A186" s="19" t="inlineStr">
        <is>
          <t>РП-5 — Яковлев А. В. (ДЕМО)</t>
        </is>
      </c>
      <c r="B186" s="12" t="inlineStr">
        <is>
          <t>Быстрая переналадка (SMED)</t>
        </is>
      </c>
      <c r="C186" s="20">
        <f>IF('Оценки'!C186="","",'Оценки'!C186)</f>
        <v/>
      </c>
      <c r="D186" s="20">
        <f>IF(COUNT('Оценки'!D186:H186)=0,"",AVERAGE('Оценки'!D186:H186))</f>
        <v/>
      </c>
      <c r="E186" s="20">
        <f>IF(OR(C186="",D186=""),"",C186-D186)</f>
        <v/>
      </c>
      <c r="F186" s="19">
        <f>IF(E186="","",IF(E186&gt;=0.5,"⚠ переоценивает себя",IF(D186&lt;3,"низкий уровень","")))</f>
        <v/>
      </c>
    </row>
    <row r="187">
      <c r="A187" s="19" t="inlineStr">
        <is>
          <t>РП-5 — Яковлев А. В. (ДЕМО)</t>
        </is>
      </c>
      <c r="B187" s="12" t="inlineStr">
        <is>
          <t>«Poka-Yoke» (защита от ошибок)</t>
        </is>
      </c>
      <c r="C187" s="20">
        <f>IF('Оценки'!C187="","",'Оценки'!C187)</f>
        <v/>
      </c>
      <c r="D187" s="20">
        <f>IF(COUNT('Оценки'!D187:H187)=0,"",AVERAGE('Оценки'!D187:H187))</f>
        <v/>
      </c>
      <c r="E187" s="20">
        <f>IF(OR(C187="",D187=""),"",C187-D187)</f>
        <v/>
      </c>
      <c r="F187" s="19">
        <f>IF(E187="","",IF(E187&gt;=0.5,"⚠ переоценивает себя",IF(D187&lt;3,"низкий уровень","")))</f>
        <v/>
      </c>
    </row>
    <row r="188">
      <c r="A188" s="19" t="inlineStr">
        <is>
          <t>РП-5 — Яковлев А. В. (ДЕМО)</t>
        </is>
      </c>
      <c r="B188" s="12" t="inlineStr">
        <is>
          <t>5С на производстве и в офисе</t>
        </is>
      </c>
      <c r="C188" s="20">
        <f>IF('Оценки'!C188="","",'Оценки'!C188)</f>
        <v/>
      </c>
      <c r="D188" s="20">
        <f>IF(COUNT('Оценки'!D188:H188)=0,"",AVERAGE('Оценки'!D188:H188))</f>
        <v/>
      </c>
      <c r="E188" s="20">
        <f>IF(OR(C188="",D188=""),"",C188-D188)</f>
        <v/>
      </c>
      <c r="F188" s="19">
        <f>IF(E188="","",IF(E188&gt;=0.5,"⚠ переоценивает себя",IF(D188&lt;3,"низкий уровень","")))</f>
        <v/>
      </c>
    </row>
    <row r="189">
      <c r="A189" s="19" t="inlineStr">
        <is>
          <t>РП-5 — Яковлев А. В. (ДЕМО)</t>
        </is>
      </c>
      <c r="B189" s="12" t="inlineStr">
        <is>
          <t>ОЕЕ — анализ эффективности оборудования</t>
        </is>
      </c>
      <c r="C189" s="20">
        <f>IF('Оценки'!C189="","",'Оценки'!C189)</f>
        <v/>
      </c>
      <c r="D189" s="20">
        <f>IF(COUNT('Оценки'!D189:H189)=0,"",AVERAGE('Оценки'!D189:H189))</f>
        <v/>
      </c>
      <c r="E189" s="20">
        <f>IF(OR(C189="",D189=""),"",C189-D189)</f>
        <v/>
      </c>
      <c r="F189" s="19">
        <f>IF(E189="","",IF(E189&gt;=0.5,"⚠ переоценивает себя",IF(D189&lt;3,"низкий уровень","")))</f>
        <v/>
      </c>
    </row>
    <row r="190">
      <c r="A190" s="19" t="inlineStr">
        <is>
          <t>РП-5 — Яковлев А. В. (ДЕМО)</t>
        </is>
      </c>
      <c r="B190" s="12" t="inlineStr">
        <is>
          <t>Автономное обслуживание оборудования</t>
        </is>
      </c>
      <c r="C190" s="20">
        <f>IF('Оценки'!C190="","",'Оценки'!C190)</f>
        <v/>
      </c>
      <c r="D190" s="20">
        <f>IF(COUNT('Оценки'!D190:H190)=0,"",AVERAGE('Оценки'!D190:H190))</f>
        <v/>
      </c>
      <c r="E190" s="20">
        <f>IF(OR(C190="",D190=""),"",C190-D190)</f>
        <v/>
      </c>
      <c r="F190" s="19">
        <f>IF(E190="","",IF(E190&gt;=0.5,"⚠ переоценивает себя",IF(D190&lt;3,"низкий уровень","")))</f>
        <v/>
      </c>
    </row>
    <row r="191">
      <c r="A191" s="19" t="inlineStr">
        <is>
          <t>РП-5 — Яковлев А. В. (ДЕМО)</t>
        </is>
      </c>
      <c r="B191" s="12" t="inlineStr">
        <is>
          <t>Управление запасами</t>
        </is>
      </c>
      <c r="C191" s="20">
        <f>IF('Оценки'!C191="","",'Оценки'!C191)</f>
        <v/>
      </c>
      <c r="D191" s="20">
        <f>IF(COUNT('Оценки'!D191:H191)=0,"",AVERAGE('Оценки'!D191:H191))</f>
        <v/>
      </c>
      <c r="E191" s="20">
        <f>IF(OR(C191="",D191=""),"",C191-D191)</f>
        <v/>
      </c>
      <c r="F191" s="19">
        <f>IF(E191="","",IF(E191&gt;=0.5,"⚠ переоценивает себя",IF(D191&lt;3,"низкий уровень","")))</f>
        <v/>
      </c>
    </row>
    <row r="192">
      <c r="A192" s="19" t="inlineStr">
        <is>
          <t>РП-5 — Яковлев А. В. (ДЕМО)</t>
        </is>
      </c>
      <c r="B192" s="13" t="inlineStr">
        <is>
          <t>Сбор и проверка данных от предприятий-участников, выработка корректирующих мероприятий</t>
        </is>
      </c>
      <c r="C192" s="20">
        <f>IF('Оценки'!C192="","",'Оценки'!C192)</f>
        <v/>
      </c>
      <c r="D192" s="20">
        <f>IF(COUNT('Оценки'!D192:H192)=0,"",AVERAGE('Оценки'!D192:H192))</f>
        <v/>
      </c>
      <c r="E192" s="20">
        <f>IF(OR(C192="",D192=""),"",C192-D192)</f>
        <v/>
      </c>
      <c r="F192" s="19">
        <f>IF(E192="","",IF(E192&gt;=0.5,"⚠ переоценивает себя",IF(D192&lt;3,"низкий уровень","")))</f>
        <v/>
      </c>
    </row>
    <row r="193">
      <c r="A193" s="19" t="inlineStr">
        <is>
          <t>РП-5 — Яковлев А. В. (ДЕМО)</t>
        </is>
      </c>
      <c r="B193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93" s="20">
        <f>IF('Оценки'!C193="","",'Оценки'!C193)</f>
        <v/>
      </c>
      <c r="D193" s="20">
        <f>IF(COUNT('Оценки'!D193:H193)=0,"",AVERAGE('Оценки'!D193:H193))</f>
        <v/>
      </c>
      <c r="E193" s="20">
        <f>IF(OR(C193="",D193=""),"",C193-D193)</f>
        <v/>
      </c>
      <c r="F193" s="19">
        <f>IF(E193="","",IF(E193&gt;=0.5,"⚠ переоценивает себя",IF(D193&lt;3,"низкий уровень","")))</f>
        <v/>
      </c>
    </row>
    <row r="194">
      <c r="A194" s="19" t="inlineStr">
        <is>
          <t>РП-5 — Яковлев А. В. (ДЕМО)</t>
        </is>
      </c>
      <c r="B194" s="13" t="inlineStr">
        <is>
          <t>Поиск и распространение лучших практик по производительности труда</t>
        </is>
      </c>
      <c r="C194" s="20">
        <f>IF('Оценки'!C194="","",'Оценки'!C194)</f>
        <v/>
      </c>
      <c r="D194" s="20">
        <f>IF(COUNT('Оценки'!D194:H194)=0,"",AVERAGE('Оценки'!D194:H194))</f>
        <v/>
      </c>
      <c r="E194" s="20">
        <f>IF(OR(C194="",D194=""),"",C194-D194)</f>
        <v/>
      </c>
      <c r="F194" s="19">
        <f>IF(E194="","",IF(E194&gt;=0.5,"⚠ переоценивает себя",IF(D194&lt;3,"низкий уровень","")))</f>
        <v/>
      </c>
    </row>
    <row r="195">
      <c r="A195" s="19" t="inlineStr">
        <is>
          <t>РП-5 — Яковлев А. В. (ДЕМО)</t>
        </is>
      </c>
      <c r="B195" s="13" t="inlineStr">
        <is>
          <t>Организация работы с предложениями по улучшению (ППУ)</t>
        </is>
      </c>
      <c r="C195" s="20">
        <f>IF('Оценки'!C195="","",'Оценки'!C195)</f>
        <v/>
      </c>
      <c r="D195" s="20">
        <f>IF(COUNT('Оценки'!D195:H195)=0,"",AVERAGE('Оценки'!D195:H195))</f>
        <v/>
      </c>
      <c r="E195" s="20">
        <f>IF(OR(C195="",D195=""),"",C195-D195)</f>
        <v/>
      </c>
      <c r="F195" s="19">
        <f>IF(E195="","",IF(E195&gt;=0.5,"⚠ переоценивает себя",IF(D195&lt;3,"низкий уровень","")))</f>
        <v/>
      </c>
    </row>
    <row r="196">
      <c r="A196" s="19" t="inlineStr">
        <is>
          <t>РП-5 — Яковлев А. В. (ДЕМО)</t>
        </is>
      </c>
      <c r="B196" s="13" t="inlineStr">
        <is>
          <t>Ведение мониторинга проектов в подсистеме «Совместная работа» на ИТ-платформе</t>
        </is>
      </c>
      <c r="C196" s="20">
        <f>IF('Оценки'!C196="","",'Оценки'!C196)</f>
        <v/>
      </c>
      <c r="D196" s="20">
        <f>IF(COUNT('Оценки'!D196:H196)=0,"",AVERAGE('Оценки'!D196:H196))</f>
        <v/>
      </c>
      <c r="E196" s="20">
        <f>IF(OR(C196="",D196=""),"",C196-D196)</f>
        <v/>
      </c>
      <c r="F196" s="19">
        <f>IF(E196="","",IF(E196&gt;=0.5,"⚠ переоценивает себя",IF(D196&lt;3,"низкий уровень","")))</f>
        <v/>
      </c>
    </row>
    <row r="197">
      <c r="A197" s="21" t="inlineStr">
        <is>
          <t>РП-5 — Яковлев А. В. (ДЕМО)</t>
        </is>
      </c>
      <c r="B197" s="21" t="inlineStr">
        <is>
          <t>ИТОГО (среднее по всем компетенциям)</t>
        </is>
      </c>
      <c r="C197" s="22">
        <f>IF(COUNT(C160:C196)=0,"",AVERAGE(C160:C196))</f>
        <v/>
      </c>
      <c r="D197" s="22">
        <f>IF(COUNT(D160:D196)=0,"",AVERAGE(D160:D196))</f>
        <v/>
      </c>
      <c r="E197" s="22">
        <f>IF(OR(C197="",D197=""),"",C197-D197)</f>
        <v/>
      </c>
      <c r="F197" s="21">
        <f>IF(E197="","",IF(E197&gt;=0.5,"⚠ переоценивает себя",IF(D197&lt;3,"низкий уровень","")))</f>
        <v/>
      </c>
    </row>
    <row r="198">
      <c r="A198" s="19" t="n"/>
      <c r="B198" s="19" t="n"/>
      <c r="C198" s="20" t="n"/>
      <c r="D198" s="20" t="n"/>
      <c r="E198" s="20" t="n"/>
      <c r="F198" s="19" t="n"/>
    </row>
    <row r="199">
      <c r="A199" s="19" t="inlineStr">
        <is>
          <t>РП-6 — Неробеева А. Э. (ДЕМО)</t>
        </is>
      </c>
      <c r="B199" s="9" t="inlineStr">
        <is>
          <t>Проведение оценки на соответствие предприятия обязательным критериям</t>
        </is>
      </c>
      <c r="C199" s="20">
        <f>IF('Оценки'!C199="","",'Оценки'!C199)</f>
        <v/>
      </c>
      <c r="D199" s="20">
        <f>IF(COUNT('Оценки'!D199:H199)=0,"",AVERAGE('Оценки'!D199:H199))</f>
        <v/>
      </c>
      <c r="E199" s="20">
        <f>IF(OR(C199="",D199=""),"",C199-D199)</f>
        <v/>
      </c>
      <c r="F199" s="19">
        <f>IF(E199="","",IF(E199&gt;=0.5,"⚠ переоценивает себя",IF(D199&lt;3,"низкий уровень","")))</f>
        <v/>
      </c>
    </row>
    <row r="200">
      <c r="A200" s="19" t="inlineStr">
        <is>
          <t>РП-6 — Неробеева А. Э. (ДЕМО)</t>
        </is>
      </c>
      <c r="B200" s="9" t="inlineStr">
        <is>
          <t>Проведение оценки готовности руководства предприятия к участию в проекте (интервью)</t>
        </is>
      </c>
      <c r="C200" s="20">
        <f>IF('Оценки'!C200="","",'Оценки'!C200)</f>
        <v/>
      </c>
      <c r="D200" s="20">
        <f>IF(COUNT('Оценки'!D200:H200)=0,"",AVERAGE('Оценки'!D200:H200))</f>
        <v/>
      </c>
      <c r="E200" s="20">
        <f>IF(OR(C200="",D200=""),"",C200-D200)</f>
        <v/>
      </c>
      <c r="F200" s="19">
        <f>IF(E200="","",IF(E200&gt;=0.5,"⚠ переоценивает себя",IF(D200&lt;3,"низкий уровень","")))</f>
        <v/>
      </c>
    </row>
    <row r="201">
      <c r="A201" s="19" t="inlineStr">
        <is>
          <t>РП-6 — Неробеева А. Э. (ДЕМО)</t>
        </is>
      </c>
      <c r="B201" s="9" t="inlineStr">
        <is>
          <t>Проведение визуальной оценки производственного процесса на предприятии (визит на площадку)</t>
        </is>
      </c>
      <c r="C201" s="20">
        <f>IF('Оценки'!C201="","",'Оценки'!C201)</f>
        <v/>
      </c>
      <c r="D201" s="20">
        <f>IF(COUNT('Оценки'!D201:H201)=0,"",AVERAGE('Оценки'!D201:H201))</f>
        <v/>
      </c>
      <c r="E201" s="20">
        <f>IF(OR(C201="",D201=""),"",C201-D201)</f>
        <v/>
      </c>
      <c r="F201" s="19">
        <f>IF(E201="","",IF(E201&gt;=0.5,"⚠ переоценивает себя",IF(D201&lt;3,"низкий уровень","")))</f>
        <v/>
      </c>
    </row>
    <row r="202">
      <c r="A202" s="19" t="inlineStr">
        <is>
          <t>РП-6 — Неробеева А. Э. (ДЕМО)</t>
        </is>
      </c>
      <c r="B202" s="9" t="inlineStr">
        <is>
          <t>Вовлечение руководства предприятий в федеральный проект</t>
        </is>
      </c>
      <c r="C202" s="20">
        <f>IF('Оценки'!C202="","",'Оценки'!C202)</f>
        <v/>
      </c>
      <c r="D202" s="20">
        <f>IF(COUNT('Оценки'!D202:H202)=0,"",AVERAGE('Оценки'!D202:H202))</f>
        <v/>
      </c>
      <c r="E202" s="20">
        <f>IF(OR(C202="",D202=""),"",C202-D202)</f>
        <v/>
      </c>
      <c r="F202" s="19">
        <f>IF(E202="","",IF(E202&gt;=0.5,"⚠ переоценивает себя",IF(D202&lt;3,"низкий уровень","")))</f>
        <v/>
      </c>
    </row>
    <row r="203">
      <c r="A203" s="19" t="inlineStr">
        <is>
          <t>РП-6 — Неробеева А. Э. (ДЕМО)</t>
        </is>
      </c>
      <c r="B203" s="9" t="inlineStr">
        <is>
          <t>Подписание соглашения о сотрудничестве между РЦК и предприятием</t>
        </is>
      </c>
      <c r="C203" s="20">
        <f>IF('Оценки'!C203="","",'Оценки'!C203)</f>
        <v/>
      </c>
      <c r="D203" s="20">
        <f>IF(COUNT('Оценки'!D203:H203)=0,"",AVERAGE('Оценки'!D203:H203))</f>
        <v/>
      </c>
      <c r="E203" s="20">
        <f>IF(OR(C203="",D203=""),"",C203-D203)</f>
        <v/>
      </c>
      <c r="F203" s="19">
        <f>IF(E203="","",IF(E203&gt;=0.5,"⚠ переоценивает себя",IF(D203&lt;3,"низкий уровень","")))</f>
        <v/>
      </c>
    </row>
    <row r="204">
      <c r="A204" s="19" t="inlineStr">
        <is>
          <t>РП-6 — Неробеева А. Э. (ДЕМО)</t>
        </is>
      </c>
      <c r="B204" s="11" t="inlineStr">
        <is>
          <t>Реализация организационных вех программы</t>
        </is>
      </c>
      <c r="C204" s="20">
        <f>IF('Оценки'!C204="","",'Оценки'!C204)</f>
        <v/>
      </c>
      <c r="D204" s="20">
        <f>IF(COUNT('Оценки'!D204:H204)=0,"",AVERAGE('Оценки'!D204:H204))</f>
        <v/>
      </c>
      <c r="E204" s="20">
        <f>IF(OR(C204="",D204=""),"",C204-D204)</f>
        <v/>
      </c>
      <c r="F204" s="19">
        <f>IF(E204="","",IF(E204&gt;=0.5,"⚠ переоценивает себя",IF(D204&lt;3,"низкий уровень","")))</f>
        <v/>
      </c>
    </row>
    <row r="205">
      <c r="A205" s="19" t="inlineStr">
        <is>
          <t>РП-6 — Неробеева А. Э. (ДЕМО)</t>
        </is>
      </c>
      <c r="B205" s="11" t="inlineStr">
        <is>
          <t>Формирование проектного офиса</t>
        </is>
      </c>
      <c r="C205" s="20">
        <f>IF('Оценки'!C205="","",'Оценки'!C205)</f>
        <v/>
      </c>
      <c r="D205" s="20">
        <f>IF(COUNT('Оценки'!D205:H205)=0,"",AVERAGE('Оценки'!D205:H205))</f>
        <v/>
      </c>
      <c r="E205" s="20">
        <f>IF(OR(C205="",D205=""),"",C205-D205)</f>
        <v/>
      </c>
      <c r="F205" s="19">
        <f>IF(E205="","",IF(E205&gt;=0.5,"⚠ переоценивает себя",IF(D205&lt;3,"низкий уровень","")))</f>
        <v/>
      </c>
    </row>
    <row r="206">
      <c r="A206" s="19" t="inlineStr">
        <is>
          <t>РП-6 — Неробеева А. Э. (ДЕМО)</t>
        </is>
      </c>
      <c r="B206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06" s="20">
        <f>IF('Оценки'!C206="","",'Оценки'!C206)</f>
        <v/>
      </c>
      <c r="D206" s="20">
        <f>IF(COUNT('Оценки'!D206:H206)=0,"",AVERAGE('Оценки'!D206:H206))</f>
        <v/>
      </c>
      <c r="E206" s="20">
        <f>IF(OR(C206="",D206=""),"",C206-D206)</f>
        <v/>
      </c>
      <c r="F206" s="19">
        <f>IF(E206="","",IF(E206&gt;=0.5,"⚠ переоценивает себя",IF(D206&lt;3,"низкий уровень","")))</f>
        <v/>
      </c>
    </row>
    <row r="207">
      <c r="A207" s="19" t="inlineStr">
        <is>
          <t>РП-6 — Неробеева А. Э. (ДЕМО)</t>
        </is>
      </c>
      <c r="B207" s="11" t="inlineStr">
        <is>
          <t>Выявление степени готовности предприятия к изменениям</t>
        </is>
      </c>
      <c r="C207" s="20">
        <f>IF('Оценки'!C207="","",'Оценки'!C207)</f>
        <v/>
      </c>
      <c r="D207" s="20">
        <f>IF(COUNT('Оценки'!D207:H207)=0,"",AVERAGE('Оценки'!D207:H207))</f>
        <v/>
      </c>
      <c r="E207" s="20">
        <f>IF(OR(C207="",D207=""),"",C207-D207)</f>
        <v/>
      </c>
      <c r="F207" s="19">
        <f>IF(E207="","",IF(E207&gt;=0.5,"⚠ переоценивает себя",IF(D207&lt;3,"низкий уровень","")))</f>
        <v/>
      </c>
    </row>
    <row r="208">
      <c r="A208" s="19" t="inlineStr">
        <is>
          <t>РП-6 — Неробеева А. Э. (ДЕМО)</t>
        </is>
      </c>
      <c r="B208" s="11" t="inlineStr">
        <is>
          <t>Составление плана ключевых событий</t>
        </is>
      </c>
      <c r="C208" s="20">
        <f>IF('Оценки'!C208="","",'Оценки'!C208)</f>
        <v/>
      </c>
      <c r="D208" s="20">
        <f>IF(COUNT('Оценки'!D208:H208)=0,"",AVERAGE('Оценки'!D208:H208))</f>
        <v/>
      </c>
      <c r="E208" s="20">
        <f>IF(OR(C208="",D208=""),"",C208-D208)</f>
        <v/>
      </c>
      <c r="F208" s="19">
        <f>IF(E208="","",IF(E208&gt;=0.5,"⚠ переоценивает себя",IF(D208&lt;3,"низкий уровень","")))</f>
        <v/>
      </c>
    </row>
    <row r="209">
      <c r="A209" s="19" t="inlineStr">
        <is>
          <t>РП-6 — Неробеева А. Э. (ДЕМО)</t>
        </is>
      </c>
      <c r="B209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09" s="20">
        <f>IF('Оценки'!C209="","",'Оценки'!C209)</f>
        <v/>
      </c>
      <c r="D209" s="20">
        <f>IF(COUNT('Оценки'!D209:H209)=0,"",AVERAGE('Оценки'!D209:H209))</f>
        <v/>
      </c>
      <c r="E209" s="20">
        <f>IF(OR(C209="",D209=""),"",C209-D209)</f>
        <v/>
      </c>
      <c r="F209" s="19">
        <f>IF(E209="","",IF(E209&gt;=0.5,"⚠ переоценивает себя",IF(D209&lt;3,"низкий уровень","")))</f>
        <v/>
      </c>
    </row>
    <row r="210">
      <c r="A210" s="19" t="inlineStr">
        <is>
          <t>РП-6 — Неробеева А. Э. (ДЕМО)</t>
        </is>
      </c>
      <c r="B210" s="11" t="inlineStr">
        <is>
          <t>Проведение анализа показателей проектов повышения производительности труда</t>
        </is>
      </c>
      <c r="C210" s="20">
        <f>IF('Оценки'!C210="","",'Оценки'!C210)</f>
        <v/>
      </c>
      <c r="D210" s="20">
        <f>IF(COUNT('Оценки'!D210:H210)=0,"",AVERAGE('Оценки'!D210:H210))</f>
        <v/>
      </c>
      <c r="E210" s="20">
        <f>IF(OR(C210="",D210=""),"",C210-D210)</f>
        <v/>
      </c>
      <c r="F210" s="19">
        <f>IF(E210="","",IF(E210&gt;=0.5,"⚠ переоценивает себя",IF(D210&lt;3,"низкий уровень","")))</f>
        <v/>
      </c>
    </row>
    <row r="211">
      <c r="A211" s="19" t="inlineStr">
        <is>
          <t>РП-6 — Неробеева А. Э. (ДЕМО)</t>
        </is>
      </c>
      <c r="B211" s="11" t="inlineStr">
        <is>
          <t>Создание карточки проекта</t>
        </is>
      </c>
      <c r="C211" s="20">
        <f>IF('Оценки'!C211="","",'Оценки'!C211)</f>
        <v/>
      </c>
      <c r="D211" s="20">
        <f>IF(COUNT('Оценки'!D211:H211)=0,"",AVERAGE('Оценки'!D211:H211))</f>
        <v/>
      </c>
      <c r="E211" s="20">
        <f>IF(OR(C211="",D211=""),"",C211-D211)</f>
        <v/>
      </c>
      <c r="F211" s="19">
        <f>IF(E211="","",IF(E211&gt;=0.5,"⚠ переоценивает себя",IF(D211&lt;3,"низкий уровень","")))</f>
        <v/>
      </c>
    </row>
    <row r="212">
      <c r="A212" s="19" t="inlineStr">
        <is>
          <t>РП-6 — Неробеева А. Э. (ДЕМО)</t>
        </is>
      </c>
      <c r="B212" s="11" t="inlineStr">
        <is>
          <t>Создание информационного центра проекта</t>
        </is>
      </c>
      <c r="C212" s="20">
        <f>IF('Оценки'!C212="","",'Оценки'!C212)</f>
        <v/>
      </c>
      <c r="D212" s="20">
        <f>IF(COUNT('Оценки'!D212:H212)=0,"",AVERAGE('Оценки'!D212:H212))</f>
        <v/>
      </c>
      <c r="E212" s="20">
        <f>IF(OR(C212="",D212=""),"",C212-D212)</f>
        <v/>
      </c>
      <c r="F212" s="19">
        <f>IF(E212="","",IF(E212&gt;=0.5,"⚠ переоценивает себя",IF(D212&lt;3,"низкий уровень","")))</f>
        <v/>
      </c>
    </row>
    <row r="213">
      <c r="A213" s="19" t="inlineStr">
        <is>
          <t>РП-6 — Неробеева А. Э. (ДЕМО)</t>
        </is>
      </c>
      <c r="B213" s="11" t="inlineStr">
        <is>
          <t>Создание эталонного участка</t>
        </is>
      </c>
      <c r="C213" s="20">
        <f>IF('Оценки'!C213="","",'Оценки'!C213)</f>
        <v/>
      </c>
      <c r="D213" s="20">
        <f>IF(COUNT('Оценки'!D213:H213)=0,"",AVERAGE('Оценки'!D213:H213))</f>
        <v/>
      </c>
      <c r="E213" s="20">
        <f>IF(OR(C213="",D213=""),"",C213-D213)</f>
        <v/>
      </c>
      <c r="F213" s="19">
        <f>IF(E213="","",IF(E213&gt;=0.5,"⚠ переоценивает себя",IF(D213&lt;3,"низкий уровень","")))</f>
        <v/>
      </c>
    </row>
    <row r="214">
      <c r="A214" s="19" t="inlineStr">
        <is>
          <t>РП-6 — Неробеева А. Э. (ДЕМО)</t>
        </is>
      </c>
      <c r="B214" s="11" t="inlineStr">
        <is>
          <t>Проведение оценки уровня развития производственной системы предприятия</t>
        </is>
      </c>
      <c r="C214" s="20">
        <f>IF('Оценки'!C214="","",'Оценки'!C214)</f>
        <v/>
      </c>
      <c r="D214" s="20">
        <f>IF(COUNT('Оценки'!D214:H214)=0,"",AVERAGE('Оценки'!D214:H214))</f>
        <v/>
      </c>
      <c r="E214" s="20">
        <f>IF(OR(C214="",D214=""),"",C214-D214)</f>
        <v/>
      </c>
      <c r="F214" s="19">
        <f>IF(E214="","",IF(E214&gt;=0.5,"⚠ переоценивает себя",IF(D214&lt;3,"низкий уровень","")))</f>
        <v/>
      </c>
    </row>
    <row r="215">
      <c r="A215" s="19" t="inlineStr">
        <is>
          <t>РП-6 — Неробеева А. Э. (ДЕМО)</t>
        </is>
      </c>
      <c r="B215" s="11" t="inlineStr">
        <is>
          <t>Внедрение информационных центров</t>
        </is>
      </c>
      <c r="C215" s="20">
        <f>IF('Оценки'!C215="","",'Оценки'!C215)</f>
        <v/>
      </c>
      <c r="D215" s="20">
        <f>IF(COUNT('Оценки'!D215:H215)=0,"",AVERAGE('Оценки'!D215:H215))</f>
        <v/>
      </c>
      <c r="E215" s="20">
        <f>IF(OR(C215="",D215=""),"",C215-D215)</f>
        <v/>
      </c>
      <c r="F215" s="19">
        <f>IF(E215="","",IF(E215&gt;=0.5,"⚠ переоценивает себя",IF(D215&lt;3,"низкий уровень","")))</f>
        <v/>
      </c>
    </row>
    <row r="216">
      <c r="A216" s="19" t="inlineStr">
        <is>
          <t>РП-6 — Неробеева А. Э. (ДЕМО)</t>
        </is>
      </c>
      <c r="B216" s="11" t="inlineStr">
        <is>
          <t>Подготовка к проведению тренингов</t>
        </is>
      </c>
      <c r="C216" s="20">
        <f>IF('Оценки'!C216="","",'Оценки'!C216)</f>
        <v/>
      </c>
      <c r="D216" s="20">
        <f>IF(COUNT('Оценки'!D216:H216)=0,"",AVERAGE('Оценки'!D216:H216))</f>
        <v/>
      </c>
      <c r="E216" s="20">
        <f>IF(OR(C216="",D216=""),"",C216-D216)</f>
        <v/>
      </c>
      <c r="F216" s="19">
        <f>IF(E216="","",IF(E216&gt;=0.5,"⚠ переоценивает себя",IF(D216&lt;3,"низкий уровень","")))</f>
        <v/>
      </c>
    </row>
    <row r="217">
      <c r="A217" s="19" t="inlineStr">
        <is>
          <t>РП-6 — Неробеева А. Э. (ДЕМО)</t>
        </is>
      </c>
      <c r="B217" s="11" t="inlineStr">
        <is>
          <t>Проведение тренингов по Бережливому производству</t>
        </is>
      </c>
      <c r="C217" s="20">
        <f>IF('Оценки'!C217="","",'Оценки'!C217)</f>
        <v/>
      </c>
      <c r="D217" s="20">
        <f>IF(COUNT('Оценки'!D217:H217)=0,"",AVERAGE('Оценки'!D217:H217))</f>
        <v/>
      </c>
      <c r="E217" s="20">
        <f>IF(OR(C217="",D217=""),"",C217-D217)</f>
        <v/>
      </c>
      <c r="F217" s="19">
        <f>IF(E217="","",IF(E217&gt;=0.5,"⚠ переоценивает себя",IF(D217&lt;3,"низкий уровень","")))</f>
        <v/>
      </c>
    </row>
    <row r="218">
      <c r="A218" s="19" t="inlineStr">
        <is>
          <t>РП-6 — Неробеева А. Э. (ДЕМО)</t>
        </is>
      </c>
      <c r="B218" s="11" t="inlineStr">
        <is>
          <t>Мониторинг проводимого обучения</t>
        </is>
      </c>
      <c r="C218" s="20">
        <f>IF('Оценки'!C218="","",'Оценки'!C218)</f>
        <v/>
      </c>
      <c r="D218" s="20">
        <f>IF(COUNT('Оценки'!D218:H218)=0,"",AVERAGE('Оценки'!D218:H218))</f>
        <v/>
      </c>
      <c r="E218" s="20">
        <f>IF(OR(C218="",D218=""),"",C218-D218)</f>
        <v/>
      </c>
      <c r="F218" s="19">
        <f>IF(E218="","",IF(E218&gt;=0.5,"⚠ переоценивает себя",IF(D218&lt;3,"низкий уровень","")))</f>
        <v/>
      </c>
    </row>
    <row r="219">
      <c r="A219" s="19" t="inlineStr">
        <is>
          <t>РП-6 — Неробеева А. Э. (ДЕМО)</t>
        </is>
      </c>
      <c r="B219" s="12" t="inlineStr">
        <is>
          <t>Картирование потоков и «Диаграмма спагетти»</t>
        </is>
      </c>
      <c r="C219" s="20">
        <f>IF('Оценки'!C219="","",'Оценки'!C219)</f>
        <v/>
      </c>
      <c r="D219" s="20">
        <f>IF(COUNT('Оценки'!D219:H219)=0,"",AVERAGE('Оценки'!D219:H219))</f>
        <v/>
      </c>
      <c r="E219" s="20">
        <f>IF(OR(C219="",D219=""),"",C219-D219)</f>
        <v/>
      </c>
      <c r="F219" s="19">
        <f>IF(E219="","",IF(E219&gt;=0.5,"⚠ переоценивает себя",IF(D219&lt;3,"низкий уровень","")))</f>
        <v/>
      </c>
    </row>
    <row r="220">
      <c r="A220" s="19" t="inlineStr">
        <is>
          <t>РП-6 — Неробеева А. Э. (ДЕМО)</t>
        </is>
      </c>
      <c r="B220" s="12" t="inlineStr">
        <is>
          <t>Производственный анализ</t>
        </is>
      </c>
      <c r="C220" s="20">
        <f>IF('Оценки'!C220="","",'Оценки'!C220)</f>
        <v/>
      </c>
      <c r="D220" s="20">
        <f>IF(COUNT('Оценки'!D220:H220)=0,"",AVERAGE('Оценки'!D220:H220))</f>
        <v/>
      </c>
      <c r="E220" s="20">
        <f>IF(OR(C220="",D220=""),"",C220-D220)</f>
        <v/>
      </c>
      <c r="F220" s="19">
        <f>IF(E220="","",IF(E220&gt;=0.5,"⚠ переоценивает себя",IF(D220&lt;3,"низкий уровень","")))</f>
        <v/>
      </c>
    </row>
    <row r="221">
      <c r="A221" s="19" t="inlineStr">
        <is>
          <t>РП-6 — Неробеева А. Э. (ДЕМО)</t>
        </is>
      </c>
      <c r="B221" s="12" t="inlineStr">
        <is>
          <t>Поток единичных изделий</t>
        </is>
      </c>
      <c r="C221" s="20">
        <f>IF('Оценки'!C221="","",'Оценки'!C221)</f>
        <v/>
      </c>
      <c r="D221" s="20">
        <f>IF(COUNT('Оценки'!D221:H221)=0,"",AVERAGE('Оценки'!D221:H221))</f>
        <v/>
      </c>
      <c r="E221" s="20">
        <f>IF(OR(C221="",D221=""),"",C221-D221)</f>
        <v/>
      </c>
      <c r="F221" s="19">
        <f>IF(E221="","",IF(E221&gt;=0.5,"⚠ переоценивает себя",IF(D221&lt;3,"низкий уровень","")))</f>
        <v/>
      </c>
    </row>
    <row r="222">
      <c r="A222" s="19" t="inlineStr">
        <is>
          <t>РП-6 — Неробеева А. Э. (ДЕМО)</t>
        </is>
      </c>
      <c r="B222" s="12" t="inlineStr">
        <is>
          <t>Система «Канбан»</t>
        </is>
      </c>
      <c r="C222" s="20">
        <f>IF('Оценки'!C222="","",'Оценки'!C222)</f>
        <v/>
      </c>
      <c r="D222" s="20">
        <f>IF(COUNT('Оценки'!D222:H222)=0,"",AVERAGE('Оценки'!D222:H222))</f>
        <v/>
      </c>
      <c r="E222" s="20">
        <f>IF(OR(C222="",D222=""),"",C222-D222)</f>
        <v/>
      </c>
      <c r="F222" s="19">
        <f>IF(E222="","",IF(E222&gt;=0.5,"⚠ переоценивает себя",IF(D222&lt;3,"низкий уровень","")))</f>
        <v/>
      </c>
    </row>
    <row r="223">
      <c r="A223" s="19" t="inlineStr">
        <is>
          <t>РП-6 — Неробеева А. Э. (ДЕМО)</t>
        </is>
      </c>
      <c r="B223" s="12" t="inlineStr">
        <is>
          <t>Стандартизированная работа</t>
        </is>
      </c>
      <c r="C223" s="20">
        <f>IF('Оценки'!C223="","",'Оценки'!C223)</f>
        <v/>
      </c>
      <c r="D223" s="20">
        <f>IF(COUNT('Оценки'!D223:H223)=0,"",AVERAGE('Оценки'!D223:H223))</f>
        <v/>
      </c>
      <c r="E223" s="20">
        <f>IF(OR(C223="",D223=""),"",C223-D223)</f>
        <v/>
      </c>
      <c r="F223" s="19">
        <f>IF(E223="","",IF(E223&gt;=0.5,"⚠ переоценивает себя",IF(D223&lt;3,"низкий уровень","")))</f>
        <v/>
      </c>
    </row>
    <row r="224">
      <c r="A224" s="19" t="inlineStr">
        <is>
          <t>РП-6 — Неробеева А. Э. (ДЕМО)</t>
        </is>
      </c>
      <c r="B224" s="12" t="inlineStr">
        <is>
          <t>Методы поиска первопричин и решения проблем</t>
        </is>
      </c>
      <c r="C224" s="20">
        <f>IF('Оценки'!C224="","",'Оценки'!C224)</f>
        <v/>
      </c>
      <c r="D224" s="20">
        <f>IF(COUNT('Оценки'!D224:H224)=0,"",AVERAGE('Оценки'!D224:H224))</f>
        <v/>
      </c>
      <c r="E224" s="20">
        <f>IF(OR(C224="",D224=""),"",C224-D224)</f>
        <v/>
      </c>
      <c r="F224" s="19">
        <f>IF(E224="","",IF(E224&gt;=0.5,"⚠ переоценивает себя",IF(D224&lt;3,"низкий уровень","")))</f>
        <v/>
      </c>
    </row>
    <row r="225">
      <c r="A225" s="19" t="inlineStr">
        <is>
          <t>РП-6 — Неробеева А. Э. (ДЕМО)</t>
        </is>
      </c>
      <c r="B225" s="12" t="inlineStr">
        <is>
          <t>Быстрая переналадка (SMED)</t>
        </is>
      </c>
      <c r="C225" s="20">
        <f>IF('Оценки'!C225="","",'Оценки'!C225)</f>
        <v/>
      </c>
      <c r="D225" s="20">
        <f>IF(COUNT('Оценки'!D225:H225)=0,"",AVERAGE('Оценки'!D225:H225))</f>
        <v/>
      </c>
      <c r="E225" s="20">
        <f>IF(OR(C225="",D225=""),"",C225-D225)</f>
        <v/>
      </c>
      <c r="F225" s="19">
        <f>IF(E225="","",IF(E225&gt;=0.5,"⚠ переоценивает себя",IF(D225&lt;3,"низкий уровень","")))</f>
        <v/>
      </c>
    </row>
    <row r="226">
      <c r="A226" s="19" t="inlineStr">
        <is>
          <t>РП-6 — Неробеева А. Э. (ДЕМО)</t>
        </is>
      </c>
      <c r="B226" s="12" t="inlineStr">
        <is>
          <t>«Poka-Yoke» (защита от ошибок)</t>
        </is>
      </c>
      <c r="C226" s="20">
        <f>IF('Оценки'!C226="","",'Оценки'!C226)</f>
        <v/>
      </c>
      <c r="D226" s="20">
        <f>IF(COUNT('Оценки'!D226:H226)=0,"",AVERAGE('Оценки'!D226:H226))</f>
        <v/>
      </c>
      <c r="E226" s="20">
        <f>IF(OR(C226="",D226=""),"",C226-D226)</f>
        <v/>
      </c>
      <c r="F226" s="19">
        <f>IF(E226="","",IF(E226&gt;=0.5,"⚠ переоценивает себя",IF(D226&lt;3,"низкий уровень","")))</f>
        <v/>
      </c>
    </row>
    <row r="227">
      <c r="A227" s="19" t="inlineStr">
        <is>
          <t>РП-6 — Неробеева А. Э. (ДЕМО)</t>
        </is>
      </c>
      <c r="B227" s="12" t="inlineStr">
        <is>
          <t>5С на производстве и в офисе</t>
        </is>
      </c>
      <c r="C227" s="20">
        <f>IF('Оценки'!C227="","",'Оценки'!C227)</f>
        <v/>
      </c>
      <c r="D227" s="20">
        <f>IF(COUNT('Оценки'!D227:H227)=0,"",AVERAGE('Оценки'!D227:H227))</f>
        <v/>
      </c>
      <c r="E227" s="20">
        <f>IF(OR(C227="",D227=""),"",C227-D227)</f>
        <v/>
      </c>
      <c r="F227" s="19">
        <f>IF(E227="","",IF(E227&gt;=0.5,"⚠ переоценивает себя",IF(D227&lt;3,"низкий уровень","")))</f>
        <v/>
      </c>
    </row>
    <row r="228">
      <c r="A228" s="19" t="inlineStr">
        <is>
          <t>РП-6 — Неробеева А. Э. (ДЕМО)</t>
        </is>
      </c>
      <c r="B228" s="12" t="inlineStr">
        <is>
          <t>ОЕЕ — анализ эффективности оборудования</t>
        </is>
      </c>
      <c r="C228" s="20">
        <f>IF('Оценки'!C228="","",'Оценки'!C228)</f>
        <v/>
      </c>
      <c r="D228" s="20">
        <f>IF(COUNT('Оценки'!D228:H228)=0,"",AVERAGE('Оценки'!D228:H228))</f>
        <v/>
      </c>
      <c r="E228" s="20">
        <f>IF(OR(C228="",D228=""),"",C228-D228)</f>
        <v/>
      </c>
      <c r="F228" s="19">
        <f>IF(E228="","",IF(E228&gt;=0.5,"⚠ переоценивает себя",IF(D228&lt;3,"низкий уровень","")))</f>
        <v/>
      </c>
    </row>
    <row r="229">
      <c r="A229" s="19" t="inlineStr">
        <is>
          <t>РП-6 — Неробеева А. Э. (ДЕМО)</t>
        </is>
      </c>
      <c r="B229" s="12" t="inlineStr">
        <is>
          <t>Автономное обслуживание оборудования</t>
        </is>
      </c>
      <c r="C229" s="20">
        <f>IF('Оценки'!C229="","",'Оценки'!C229)</f>
        <v/>
      </c>
      <c r="D229" s="20">
        <f>IF(COUNT('Оценки'!D229:H229)=0,"",AVERAGE('Оценки'!D229:H229))</f>
        <v/>
      </c>
      <c r="E229" s="20">
        <f>IF(OR(C229="",D229=""),"",C229-D229)</f>
        <v/>
      </c>
      <c r="F229" s="19">
        <f>IF(E229="","",IF(E229&gt;=0.5,"⚠ переоценивает себя",IF(D229&lt;3,"низкий уровень","")))</f>
        <v/>
      </c>
    </row>
    <row r="230">
      <c r="A230" s="19" t="inlineStr">
        <is>
          <t>РП-6 — Неробеева А. Э. (ДЕМО)</t>
        </is>
      </c>
      <c r="B230" s="12" t="inlineStr">
        <is>
          <t>Управление запасами</t>
        </is>
      </c>
      <c r="C230" s="20">
        <f>IF('Оценки'!C230="","",'Оценки'!C230)</f>
        <v/>
      </c>
      <c r="D230" s="20">
        <f>IF(COUNT('Оценки'!D230:H230)=0,"",AVERAGE('Оценки'!D230:H230))</f>
        <v/>
      </c>
      <c r="E230" s="20">
        <f>IF(OR(C230="",D230=""),"",C230-D230)</f>
        <v/>
      </c>
      <c r="F230" s="19">
        <f>IF(E230="","",IF(E230&gt;=0.5,"⚠ переоценивает себя",IF(D230&lt;3,"низкий уровень","")))</f>
        <v/>
      </c>
    </row>
    <row r="231">
      <c r="A231" s="19" t="inlineStr">
        <is>
          <t>РП-6 — Неробеева А. Э. (ДЕМО)</t>
        </is>
      </c>
      <c r="B231" s="13" t="inlineStr">
        <is>
          <t>Сбор и проверка данных от предприятий-участников, выработка корректирующих мероприятий</t>
        </is>
      </c>
      <c r="C231" s="20">
        <f>IF('Оценки'!C231="","",'Оценки'!C231)</f>
        <v/>
      </c>
      <c r="D231" s="20">
        <f>IF(COUNT('Оценки'!D231:H231)=0,"",AVERAGE('Оценки'!D231:H231))</f>
        <v/>
      </c>
      <c r="E231" s="20">
        <f>IF(OR(C231="",D231=""),"",C231-D231)</f>
        <v/>
      </c>
      <c r="F231" s="19">
        <f>IF(E231="","",IF(E231&gt;=0.5,"⚠ переоценивает себя",IF(D231&lt;3,"низкий уровень","")))</f>
        <v/>
      </c>
    </row>
    <row r="232">
      <c r="A232" s="19" t="inlineStr">
        <is>
          <t>РП-6 — Неробеева А. Э. (ДЕМО)</t>
        </is>
      </c>
      <c r="B232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232" s="20">
        <f>IF('Оценки'!C232="","",'Оценки'!C232)</f>
        <v/>
      </c>
      <c r="D232" s="20">
        <f>IF(COUNT('Оценки'!D232:H232)=0,"",AVERAGE('Оценки'!D232:H232))</f>
        <v/>
      </c>
      <c r="E232" s="20">
        <f>IF(OR(C232="",D232=""),"",C232-D232)</f>
        <v/>
      </c>
      <c r="F232" s="19">
        <f>IF(E232="","",IF(E232&gt;=0.5,"⚠ переоценивает себя",IF(D232&lt;3,"низкий уровень","")))</f>
        <v/>
      </c>
    </row>
    <row r="233">
      <c r="A233" s="19" t="inlineStr">
        <is>
          <t>РП-6 — Неробеева А. Э. (ДЕМО)</t>
        </is>
      </c>
      <c r="B233" s="13" t="inlineStr">
        <is>
          <t>Поиск и распространение лучших практик по производительности труда</t>
        </is>
      </c>
      <c r="C233" s="20">
        <f>IF('Оценки'!C233="","",'Оценки'!C233)</f>
        <v/>
      </c>
      <c r="D233" s="20">
        <f>IF(COUNT('Оценки'!D233:H233)=0,"",AVERAGE('Оценки'!D233:H233))</f>
        <v/>
      </c>
      <c r="E233" s="20">
        <f>IF(OR(C233="",D233=""),"",C233-D233)</f>
        <v/>
      </c>
      <c r="F233" s="19">
        <f>IF(E233="","",IF(E233&gt;=0.5,"⚠ переоценивает себя",IF(D233&lt;3,"низкий уровень","")))</f>
        <v/>
      </c>
    </row>
    <row r="234">
      <c r="A234" s="19" t="inlineStr">
        <is>
          <t>РП-6 — Неробеева А. Э. (ДЕМО)</t>
        </is>
      </c>
      <c r="B234" s="13" t="inlineStr">
        <is>
          <t>Организация работы с предложениями по улучшению (ППУ)</t>
        </is>
      </c>
      <c r="C234" s="20">
        <f>IF('Оценки'!C234="","",'Оценки'!C234)</f>
        <v/>
      </c>
      <c r="D234" s="20">
        <f>IF(COUNT('Оценки'!D234:H234)=0,"",AVERAGE('Оценки'!D234:H234))</f>
        <v/>
      </c>
      <c r="E234" s="20">
        <f>IF(OR(C234="",D234=""),"",C234-D234)</f>
        <v/>
      </c>
      <c r="F234" s="19">
        <f>IF(E234="","",IF(E234&gt;=0.5,"⚠ переоценивает себя",IF(D234&lt;3,"низкий уровень","")))</f>
        <v/>
      </c>
    </row>
    <row r="235">
      <c r="A235" s="19" t="inlineStr">
        <is>
          <t>РП-6 — Неробеева А. Э. (ДЕМО)</t>
        </is>
      </c>
      <c r="B235" s="13" t="inlineStr">
        <is>
          <t>Ведение мониторинга проектов в подсистеме «Совместная работа» на ИТ-платформе</t>
        </is>
      </c>
      <c r="C235" s="20">
        <f>IF('Оценки'!C235="","",'Оценки'!C235)</f>
        <v/>
      </c>
      <c r="D235" s="20">
        <f>IF(COUNT('Оценки'!D235:H235)=0,"",AVERAGE('Оценки'!D235:H235))</f>
        <v/>
      </c>
      <c r="E235" s="20">
        <f>IF(OR(C235="",D235=""),"",C235-D235)</f>
        <v/>
      </c>
      <c r="F235" s="19">
        <f>IF(E235="","",IF(E235&gt;=0.5,"⚠ переоценивает себя",IF(D235&lt;3,"низкий уровень","")))</f>
        <v/>
      </c>
    </row>
    <row r="236">
      <c r="A236" s="21" t="inlineStr">
        <is>
          <t>РП-6 — Неробеева А. Э. (ДЕМО)</t>
        </is>
      </c>
      <c r="B236" s="21" t="inlineStr">
        <is>
          <t>ИТОГО (среднее по всем компетенциям)</t>
        </is>
      </c>
      <c r="C236" s="22">
        <f>IF(COUNT(C199:C235)=0,"",AVERAGE(C199:C235))</f>
        <v/>
      </c>
      <c r="D236" s="22">
        <f>IF(COUNT(D199:D235)=0,"",AVERAGE(D199:D235))</f>
        <v/>
      </c>
      <c r="E236" s="22">
        <f>IF(OR(C236="",D236=""),"",C236-D236)</f>
        <v/>
      </c>
      <c r="F236" s="21">
        <f>IF(E236="","",IF(E236&gt;=0.5,"⚠ переоценивает себя",IF(D236&lt;3,"низкий уровень","")))</f>
        <v/>
      </c>
    </row>
  </sheetData>
  <mergeCells count="2">
    <mergeCell ref="A2:F2"/>
    <mergeCell ref="A1:F1"/>
  </mergeCells>
  <conditionalFormatting sqref="E4:E236">
    <cfRule type="cellIs" priority="1" operator="greaterThanOrEqual" dxfId="0">
      <formula>0.5</formula>
    </cfRule>
  </conditionalFormatting>
  <conditionalFormatting sqref="D4:D236">
    <cfRule type="cellIs" priority="2" operator="lessThan" dxfId="1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38" customWidth="1" min="9" max="9"/>
    <col width="38" customWidth="1" min="10" max="10"/>
    <col width="38" customWidth="1" min="11" max="11"/>
    <col width="38" customWidth="1" min="12" max="12"/>
    <col width="44" customWidth="1" min="13" max="13"/>
  </cols>
  <sheetData>
    <row r="1">
      <c r="A1" s="5" t="inlineStr">
        <is>
          <t>ИТОГИ ОЦЕНКИ 360 ПО РУКОВОДИТЕЛЯМ ПРОЕКТОВ (отчёт; данные — ДЕМО)</t>
        </is>
      </c>
    </row>
    <row r="2" ht="28" customHeight="1">
      <c r="A2" s="6" t="inlineStr">
        <is>
          <t>Считается автоматически из листа «Сводка». «Коллеги» — средний балл 5 коллег. Красный разрыв ≥ 0,5 — слепая зона; оранжевый балл &lt; 3 — ниже уровня. Зоны развития и сильные стороны — по значениям «Коллеги».</t>
        </is>
      </c>
    </row>
    <row r="3" ht="40" customHeight="1">
      <c r="A3" s="7" t="inlineStr">
        <is>
          <t>Руководитель проекта</t>
        </is>
      </c>
      <c r="B3" s="7" t="inlineStr">
        <is>
          <t>Себя</t>
        </is>
      </c>
      <c r="C3" s="7" t="inlineStr">
        <is>
          <t>Коллеги</t>
        </is>
      </c>
      <c r="D3" s="7" t="inlineStr">
        <is>
          <t>Разрыв</t>
        </is>
      </c>
      <c r="E3" s="7" t="inlineStr">
        <is>
          <t>Отбор (Коллеги)</t>
        </is>
      </c>
      <c r="F3" s="7" t="inlineStr">
        <is>
          <t>Развертывание (Коллеги)</t>
        </is>
      </c>
      <c r="G3" s="7" t="inlineStr">
        <is>
          <t>Инструменты (Коллеги)</t>
        </is>
      </c>
      <c r="H3" s="7" t="inlineStr">
        <is>
          <t>Поддержка (Коллеги)</t>
        </is>
      </c>
      <c r="I3" s="7" t="inlineStr">
        <is>
          <t>Сильная сторона 1</t>
        </is>
      </c>
      <c r="J3" s="7" t="inlineStr">
        <is>
          <t>Сильная сторона 2</t>
        </is>
      </c>
      <c r="K3" s="7" t="inlineStr">
        <is>
          <t>Зона развития 1</t>
        </is>
      </c>
      <c r="L3" s="7" t="inlineStr">
        <is>
          <t>Зона развития 2</t>
        </is>
      </c>
      <c r="M3" s="7" t="inlineStr">
        <is>
          <t>Краткий вывод</t>
        </is>
      </c>
    </row>
    <row r="4" ht="42" customHeight="1">
      <c r="A4" s="23" t="inlineStr">
        <is>
          <t>РП-1 — Кущенко Д. А. (ДЕМО)</t>
        </is>
      </c>
      <c r="B4" s="20">
        <f>IF('Сводка'!C41="","",'Сводка'!C41)</f>
        <v/>
      </c>
      <c r="C4" s="20">
        <f>IF('Сводка'!D41="","",'Сводка'!D41)</f>
        <v/>
      </c>
      <c r="D4" s="20">
        <f>IF('Сводка'!E41="","",'Сводка'!E41)</f>
        <v/>
      </c>
      <c r="E4" s="20">
        <f>IF(COUNT('Сводка'!D4:D8)=0,"",AVERAGE('Сводка'!D4:D8))</f>
        <v/>
      </c>
      <c r="F4" s="20">
        <f>IF(COUNT('Сводка'!D9:D23)=0,"",AVERAGE('Сводка'!D9:D23))</f>
        <v/>
      </c>
      <c r="G4" s="20">
        <f>IF(COUNT('Сводка'!D24:D35)=0,"",AVERAGE('Сводка'!D24:D35))</f>
        <v/>
      </c>
      <c r="H4" s="20">
        <f>IF(COUNT('Сводка'!D36:D40)=0,"",AVERAGE('Сводка'!D36:D40))</f>
        <v/>
      </c>
      <c r="I4" s="10">
        <f>IF(COUNT('Сводка'!$D$4:$D$40)&lt;2,"",INDEX('Сводка'!$B$4:$B$40,MATCH(LARGE('Сводка'!$D$4:$D$40,1),'Сводка'!$D$4:$D$40,0)))</f>
        <v/>
      </c>
      <c r="J4" s="10">
        <f>IF(COUNT('Сводка'!$D$4:$D$40)&lt;3,"",INDEX('Сводка'!$B$4:$B$40,MATCH(LARGE('Сводка'!$D$4:$D$40,2),'Сводка'!$D$4:$D$40,0)))</f>
        <v/>
      </c>
      <c r="K4" s="10">
        <f>IF(COUNT('Сводка'!$D$4:$D$40)&lt;2,"",INDEX('Сводка'!$B$4:$B$40,MATCH(MIN('Сводка'!$D$4:$D$40),'Сводка'!$D$4:$D$40,0)))</f>
        <v/>
      </c>
      <c r="L4" s="10">
        <f>IF(COUNT('Сводка'!$D$4:$D$40)&lt;3,"",INDEX('Сводка'!$B$4:$B$40,MATCH(LARGE('Сводка'!$D$4:$D$40,COUNT('Сводка'!$D$4:$D$40)-1),'Сводка'!$D$4:$D$40,0)))</f>
        <v/>
      </c>
      <c r="M4" s="10">
        <f>IF('Сводка'!D41="","ожидают данные",IF('Сводка'!E41&gt;=0.7,"есть слепые зоны — обсудить с руководителем; развитие: зоны из колонок I–J",IF(AND('Сводка'!D41&gt;=3.7,ABS('Сводка'!E41)&lt;0.4),"устойчиво высокий уровень, сильная сторона команды",IF('Сводка'!D41&lt;3,"ниже требуемого уровня — план развития по зонам I–J","в целом соответствует требованиям"))))</f>
        <v/>
      </c>
    </row>
    <row r="5" ht="42" customHeight="1">
      <c r="A5" s="23" t="inlineStr">
        <is>
          <t>РП-2 — Горбунова А. М. (ДЕМО)</t>
        </is>
      </c>
      <c r="B5" s="20">
        <f>IF('Сводка'!C80="","",'Сводка'!C80)</f>
        <v/>
      </c>
      <c r="C5" s="20">
        <f>IF('Сводка'!D80="","",'Сводка'!D80)</f>
        <v/>
      </c>
      <c r="D5" s="20">
        <f>IF('Сводка'!E80="","",'Сводка'!E80)</f>
        <v/>
      </c>
      <c r="E5" s="20">
        <f>IF(COUNT('Сводка'!D43:D47)=0,"",AVERAGE('Сводка'!D43:D47))</f>
        <v/>
      </c>
      <c r="F5" s="20">
        <f>IF(COUNT('Сводка'!D48:D62)=0,"",AVERAGE('Сводка'!D48:D62))</f>
        <v/>
      </c>
      <c r="G5" s="20">
        <f>IF(COUNT('Сводка'!D63:D74)=0,"",AVERAGE('Сводка'!D63:D74))</f>
        <v/>
      </c>
      <c r="H5" s="20">
        <f>IF(COUNT('Сводка'!D75:D79)=0,"",AVERAGE('Сводка'!D75:D79))</f>
        <v/>
      </c>
      <c r="I5" s="10">
        <f>IF(COUNT('Сводка'!$D$43:$D$79)&lt;2,"",INDEX('Сводка'!$B$43:$B$79,MATCH(LARGE('Сводка'!$D$43:$D$79,1),'Сводка'!$D$43:$D$79,0)))</f>
        <v/>
      </c>
      <c r="J5" s="10">
        <f>IF(COUNT('Сводка'!$D$43:$D$79)&lt;3,"",INDEX('Сводка'!$B$43:$B$79,MATCH(LARGE('Сводка'!$D$43:$D$79,2),'Сводка'!$D$43:$D$79,0)))</f>
        <v/>
      </c>
      <c r="K5" s="10">
        <f>IF(COUNT('Сводка'!$D$43:$D$79)&lt;2,"",INDEX('Сводка'!$B$43:$B$79,MATCH(MIN('Сводка'!$D$43:$D$79),'Сводка'!$D$43:$D$79,0)))</f>
        <v/>
      </c>
      <c r="L5" s="10">
        <f>IF(COUNT('Сводка'!$D$43:$D$79)&lt;3,"",INDEX('Сводка'!$B$43:$B$79,MATCH(LARGE('Сводка'!$D$43:$D$79,COUNT('Сводка'!$D$43:$D$79)-1),'Сводка'!$D$43:$D$79,0)))</f>
        <v/>
      </c>
      <c r="M5" s="10">
        <f>IF('Сводка'!D80="","ожидают данные",IF('Сводка'!E80&gt;=0.7,"есть слепые зоны — обсудить с руководителем; развитие: зоны из колонок I–J",IF(AND('Сводка'!D80&gt;=3.7,ABS('Сводка'!E80)&lt;0.4),"устойчиво высокий уровень, сильная сторона команды",IF('Сводка'!D80&lt;3,"ниже требуемого уровня — план развития по зонам I–J","в целом соответствует требованиям"))))</f>
        <v/>
      </c>
    </row>
    <row r="6" ht="42" customHeight="1">
      <c r="A6" s="23" t="inlineStr">
        <is>
          <t>РП-3 — Бутым Б. С. (ДЕМО)</t>
        </is>
      </c>
      <c r="B6" s="20">
        <f>IF('Сводка'!C119="","",'Сводка'!C119)</f>
        <v/>
      </c>
      <c r="C6" s="20">
        <f>IF('Сводка'!D119="","",'Сводка'!D119)</f>
        <v/>
      </c>
      <c r="D6" s="20">
        <f>IF('Сводка'!E119="","",'Сводка'!E119)</f>
        <v/>
      </c>
      <c r="E6" s="20">
        <f>IF(COUNT('Сводка'!D82:D86)=0,"",AVERAGE('Сводка'!D82:D86))</f>
        <v/>
      </c>
      <c r="F6" s="20">
        <f>IF(COUNT('Сводка'!D87:D101)=0,"",AVERAGE('Сводка'!D87:D101))</f>
        <v/>
      </c>
      <c r="G6" s="20">
        <f>IF(COUNT('Сводка'!D102:D113)=0,"",AVERAGE('Сводка'!D102:D113))</f>
        <v/>
      </c>
      <c r="H6" s="20">
        <f>IF(COUNT('Сводка'!D114:D118)=0,"",AVERAGE('Сводка'!D114:D118))</f>
        <v/>
      </c>
      <c r="I6" s="10">
        <f>IF(COUNT('Сводка'!$D$82:$D$118)&lt;2,"",INDEX('Сводка'!$B$82:$B$118,MATCH(LARGE('Сводка'!$D$82:$D$118,1),'Сводка'!$D$82:$D$118,0)))</f>
        <v/>
      </c>
      <c r="J6" s="10">
        <f>IF(COUNT('Сводка'!$D$82:$D$118)&lt;3,"",INDEX('Сводка'!$B$82:$B$118,MATCH(LARGE('Сводка'!$D$82:$D$118,2),'Сводка'!$D$82:$D$118,0)))</f>
        <v/>
      </c>
      <c r="K6" s="10">
        <f>IF(COUNT('Сводка'!$D$82:$D$118)&lt;2,"",INDEX('Сводка'!$B$82:$B$118,MATCH(MIN('Сводка'!$D$82:$D$118),'Сводка'!$D$82:$D$118,0)))</f>
        <v/>
      </c>
      <c r="L6" s="10">
        <f>IF(COUNT('Сводка'!$D$82:$D$118)&lt;3,"",INDEX('Сводка'!$B$82:$B$118,MATCH(LARGE('Сводка'!$D$82:$D$118,COUNT('Сводка'!$D$82:$D$118)-1),'Сводка'!$D$82:$D$118,0)))</f>
        <v/>
      </c>
      <c r="M6" s="10">
        <f>IF('Сводка'!D119="","ожидают данные",IF('Сводка'!E119&gt;=0.7,"есть слепые зоны — обсудить с руководителем; развитие: зоны из колонок I–J",IF(AND('Сводка'!D119&gt;=3.7,ABS('Сводка'!E119)&lt;0.4),"устойчиво высокий уровень, сильная сторона команды",IF('Сводка'!D119&lt;3,"ниже требуемого уровня — план развития по зонам I–J","в целом соответствует требованиям"))))</f>
        <v/>
      </c>
    </row>
    <row r="7" ht="42" customHeight="1">
      <c r="A7" s="23" t="inlineStr">
        <is>
          <t>РП-4 — Маслаков А. В. (ДЕМО)</t>
        </is>
      </c>
      <c r="B7" s="20">
        <f>IF('Сводка'!C158="","",'Сводка'!C158)</f>
        <v/>
      </c>
      <c r="C7" s="20">
        <f>IF('Сводка'!D158="","",'Сводка'!D158)</f>
        <v/>
      </c>
      <c r="D7" s="20">
        <f>IF('Сводка'!E158="","",'Сводка'!E158)</f>
        <v/>
      </c>
      <c r="E7" s="20">
        <f>IF(COUNT('Сводка'!D121:D125)=0,"",AVERAGE('Сводка'!D121:D125))</f>
        <v/>
      </c>
      <c r="F7" s="20">
        <f>IF(COUNT('Сводка'!D126:D140)=0,"",AVERAGE('Сводка'!D126:D140))</f>
        <v/>
      </c>
      <c r="G7" s="20">
        <f>IF(COUNT('Сводка'!D141:D152)=0,"",AVERAGE('Сводка'!D141:D152))</f>
        <v/>
      </c>
      <c r="H7" s="20">
        <f>IF(COUNT('Сводка'!D153:D157)=0,"",AVERAGE('Сводка'!D153:D157))</f>
        <v/>
      </c>
      <c r="I7" s="10">
        <f>IF(COUNT('Сводка'!$D$121:$D$157)&lt;2,"",INDEX('Сводка'!$B$121:$B$157,MATCH(LARGE('Сводка'!$D$121:$D$157,1),'Сводка'!$D$121:$D$157,0)))</f>
        <v/>
      </c>
      <c r="J7" s="10">
        <f>IF(COUNT('Сводка'!$D$121:$D$157)&lt;3,"",INDEX('Сводка'!$B$121:$B$157,MATCH(LARGE('Сводка'!$D$121:$D$157,2),'Сводка'!$D$121:$D$157,0)))</f>
        <v/>
      </c>
      <c r="K7" s="10">
        <f>IF(COUNT('Сводка'!$D$121:$D$157)&lt;2,"",INDEX('Сводка'!$B$121:$B$157,MATCH(MIN('Сводка'!$D$121:$D$157),'Сводка'!$D$121:$D$157,0)))</f>
        <v/>
      </c>
      <c r="L7" s="10">
        <f>IF(COUNT('Сводка'!$D$121:$D$157)&lt;3,"",INDEX('Сводка'!$B$121:$B$157,MATCH(LARGE('Сводка'!$D$121:$D$157,COUNT('Сводка'!$D$121:$D$157)-1),'Сводка'!$D$121:$D$157,0)))</f>
        <v/>
      </c>
      <c r="M7" s="10">
        <f>IF('Сводка'!D158="","ожидают данные",IF('Сводка'!E158&gt;=0.7,"есть слепые зоны — обсудить с руководителем; развитие: зоны из колонок I–J",IF(AND('Сводка'!D158&gt;=3.7,ABS('Сводка'!E158)&lt;0.4),"устойчиво высокий уровень, сильная сторона команды",IF('Сводка'!D158&lt;3,"ниже требуемого уровня — план развития по зонам I–J","в целом соответствует требованиям"))))</f>
        <v/>
      </c>
    </row>
    <row r="8" ht="42" customHeight="1">
      <c r="A8" s="23" t="inlineStr">
        <is>
          <t>РП-5 — Яковлев А. В. (ДЕМО)</t>
        </is>
      </c>
      <c r="B8" s="20">
        <f>IF('Сводка'!C197="","",'Сводка'!C197)</f>
        <v/>
      </c>
      <c r="C8" s="20">
        <f>IF('Сводка'!D197="","",'Сводка'!D197)</f>
        <v/>
      </c>
      <c r="D8" s="20">
        <f>IF('Сводка'!E197="","",'Сводка'!E197)</f>
        <v/>
      </c>
      <c r="E8" s="20">
        <f>IF(COUNT('Сводка'!D160:D164)=0,"",AVERAGE('Сводка'!D160:D164))</f>
        <v/>
      </c>
      <c r="F8" s="20">
        <f>IF(COUNT('Сводка'!D165:D179)=0,"",AVERAGE('Сводка'!D165:D179))</f>
        <v/>
      </c>
      <c r="G8" s="20">
        <f>IF(COUNT('Сводка'!D180:D191)=0,"",AVERAGE('Сводка'!D180:D191))</f>
        <v/>
      </c>
      <c r="H8" s="20">
        <f>IF(COUNT('Сводка'!D192:D196)=0,"",AVERAGE('Сводка'!D192:D196))</f>
        <v/>
      </c>
      <c r="I8" s="10">
        <f>IF(COUNT('Сводка'!$D$160:$D$196)&lt;2,"",INDEX('Сводка'!$B$160:$B$196,MATCH(LARGE('Сводка'!$D$160:$D$196,1),'Сводка'!$D$160:$D$196,0)))</f>
        <v/>
      </c>
      <c r="J8" s="10">
        <f>IF(COUNT('Сводка'!$D$160:$D$196)&lt;3,"",INDEX('Сводка'!$B$160:$B$196,MATCH(LARGE('Сводка'!$D$160:$D$196,2),'Сводка'!$D$160:$D$196,0)))</f>
        <v/>
      </c>
      <c r="K8" s="10">
        <f>IF(COUNT('Сводка'!$D$160:$D$196)&lt;2,"",INDEX('Сводка'!$B$160:$B$196,MATCH(MIN('Сводка'!$D$160:$D$196),'Сводка'!$D$160:$D$196,0)))</f>
        <v/>
      </c>
      <c r="L8" s="10">
        <f>IF(COUNT('Сводка'!$D$160:$D$196)&lt;3,"",INDEX('Сводка'!$B$160:$B$196,MATCH(LARGE('Сводка'!$D$160:$D$196,COUNT('Сводка'!$D$160:$D$196)-1),'Сводка'!$D$160:$D$196,0)))</f>
        <v/>
      </c>
      <c r="M8" s="10">
        <f>IF('Сводка'!D197="","ожидают данные",IF('Сводка'!E197&gt;=0.7,"есть слепые зоны — обсудить с руководителем; развитие: зоны из колонок I–J",IF(AND('Сводка'!D197&gt;=3.7,ABS('Сводка'!E197)&lt;0.4),"устойчиво высокий уровень, сильная сторона команды",IF('Сводка'!D197&lt;3,"ниже требуемого уровня — план развития по зонам I–J","в целом соответствует требованиям"))))</f>
        <v/>
      </c>
    </row>
    <row r="9" ht="42" customHeight="1">
      <c r="A9" s="23" t="inlineStr">
        <is>
          <t>РП-6 — Неробеева А. Э. (ДЕМО)</t>
        </is>
      </c>
      <c r="B9" s="20">
        <f>IF('Сводка'!C236="","",'Сводка'!C236)</f>
        <v/>
      </c>
      <c r="C9" s="20">
        <f>IF('Сводка'!D236="","",'Сводка'!D236)</f>
        <v/>
      </c>
      <c r="D9" s="20">
        <f>IF('Сводка'!E236="","",'Сводка'!E236)</f>
        <v/>
      </c>
      <c r="E9" s="20">
        <f>IF(COUNT('Сводка'!D199:D203)=0,"",AVERAGE('Сводка'!D199:D203))</f>
        <v/>
      </c>
      <c r="F9" s="20">
        <f>IF(COUNT('Сводка'!D204:D218)=0,"",AVERAGE('Сводка'!D204:D218))</f>
        <v/>
      </c>
      <c r="G9" s="20">
        <f>IF(COUNT('Сводка'!D219:D230)=0,"",AVERAGE('Сводка'!D219:D230))</f>
        <v/>
      </c>
      <c r="H9" s="20">
        <f>IF(COUNT('Сводка'!D231:D235)=0,"",AVERAGE('Сводка'!D231:D235))</f>
        <v/>
      </c>
      <c r="I9" s="10">
        <f>IF(COUNT('Сводка'!$D$199:$D$235)&lt;2,"",INDEX('Сводка'!$B$199:$B$235,MATCH(LARGE('Сводка'!$D$199:$D$235,1),'Сводка'!$D$199:$D$235,0)))</f>
        <v/>
      </c>
      <c r="J9" s="10">
        <f>IF(COUNT('Сводка'!$D$199:$D$235)&lt;3,"",INDEX('Сводка'!$B$199:$B$235,MATCH(LARGE('Сводка'!$D$199:$D$235,2),'Сводка'!$D$199:$D$235,0)))</f>
        <v/>
      </c>
      <c r="K9" s="10">
        <f>IF(COUNT('Сводка'!$D$199:$D$235)&lt;2,"",INDEX('Сводка'!$B$199:$B$235,MATCH(MIN('Сводка'!$D$199:$D$235),'Сводка'!$D$199:$D$235,0)))</f>
        <v/>
      </c>
      <c r="L9" s="10">
        <f>IF(COUNT('Сводка'!$D$199:$D$235)&lt;3,"",INDEX('Сводка'!$B$199:$B$235,MATCH(LARGE('Сводка'!$D$199:$D$235,COUNT('Сводка'!$D$199:$D$235)-1),'Сводка'!$D$199:$D$235,0)))</f>
        <v/>
      </c>
      <c r="M9" s="10">
        <f>IF('Сводка'!D236="","ожидают данные",IF('Сводка'!E236&gt;=0.7,"есть слепые зоны — обсудить с руководителем; развитие: зоны из колонок I–J",IF(AND('Сводка'!D236&gt;=3.7,ABS('Сводка'!E236)&lt;0.4),"устойчиво высокий уровень, сильная сторона команды",IF('Сводка'!D236&lt;3,"ниже требуемого уровня — план развития по зонам I–J","в целом соответствует требованиям"))))</f>
        <v/>
      </c>
    </row>
  </sheetData>
  <mergeCells count="2">
    <mergeCell ref="A2:M2"/>
    <mergeCell ref="A1:M1"/>
  </mergeCells>
  <conditionalFormatting sqref="D4:D9">
    <cfRule type="cellIs" priority="1" operator="greaterThanOrEqual" dxfId="0">
      <formula>0.5</formula>
    </cfRule>
  </conditionalFormatting>
  <conditionalFormatting sqref="C4:C9">
    <cfRule type="cellIs" priority="2" operator="lessThan" dxfId="1">
      <formula>3</formula>
    </cfRule>
  </conditionalFormatting>
  <conditionalFormatting sqref="E4:E9">
    <cfRule type="cellIs" priority="3" operator="lessThan" dxfId="1">
      <formula>3</formula>
    </cfRule>
  </conditionalFormatting>
  <conditionalFormatting sqref="F4:F9">
    <cfRule type="cellIs" priority="4" operator="lessThan" dxfId="1">
      <formula>3</formula>
    </cfRule>
  </conditionalFormatting>
  <conditionalFormatting sqref="G4:G9">
    <cfRule type="cellIs" priority="5" operator="lessThan" dxfId="1">
      <formula>3</formula>
    </cfRule>
  </conditionalFormatting>
  <conditionalFormatting sqref="H4:H9">
    <cfRule type="cellIs" priority="6" operator="lessThan" dxfId="1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6" customWidth="1" min="3" max="3"/>
    <col width="12" customWidth="1" min="4" max="4"/>
    <col width="12" customWidth="1" min="5" max="5"/>
    <col width="48" customWidth="1" min="6" max="6"/>
    <col width="20" customWidth="1" min="7" max="7"/>
    <col width="14" customWidth="1" min="8" max="8"/>
    <col width="12" customWidth="1" min="9" max="9"/>
    <col width="10" customWidth="1" min="10" max="10"/>
  </cols>
  <sheetData>
    <row r="1">
      <c r="A1" s="5" t="inlineStr">
        <is>
          <t>ПЛАН РАЗВИТИЯ СОТРУДНИКА РЦК (формат — приложение № 6 МР; заполняется после встречи, на основе «Сводки»)</t>
        </is>
      </c>
    </row>
    <row r="2" ht="52" customHeight="1">
      <c r="A2" s="6" t="inlineStr">
        <is>
          <t>Уровни по шкале 360: 1–5 (см. «Инструкцию»). Для профессиональных инструментов (картирование, 5С, производственный анализ и др.) МР (приложение № 6) использует шкалу 0,0–3,0 с шагом 0,5: 0,0 — не соответствует требованиям; 0,5 — начальный уровень; 1,0 — большей частью не соответствует; 1,5 — большей частью соответствует; 2,0 — полностью соответствует; 2,5 — по некоторым направлениям превосходит; 3,0 — превосходит требования. Целевой уровень по итогам развития — не ниже 1,5 (МР). С планом ознакомлены: сотрудник РЦК, наставник, руководитель РЦК (подписи и даты).</t>
        </is>
      </c>
    </row>
    <row r="3" ht="40" customHeight="1">
      <c r="A3" s="7" t="inlineStr">
        <is>
          <t>Сотрудник РЦК (ФИО)</t>
        </is>
      </c>
      <c r="B3" s="7" t="inlineStr">
        <is>
          <t>Направление работы в РЦК</t>
        </is>
      </c>
      <c r="C3" s="7" t="inlineStr">
        <is>
          <t>Компетенция (результат 360: низкий балл / разрыв)</t>
        </is>
      </c>
      <c r="D3" s="7" t="inlineStr">
        <is>
          <t>Уровень на старте (по 360)</t>
        </is>
      </c>
      <c r="E3" s="7" t="inlineStr">
        <is>
          <t>Целевой уровень</t>
        </is>
      </c>
      <c r="F3" s="7" t="inlineStr">
        <is>
          <t>Мероприятия развития (обучение, стажировка, практика, наставничество)</t>
        </is>
      </c>
      <c r="G3" s="7" t="inlineStr">
        <is>
          <t>Наставник (РП ФЦК / РЦК)</t>
        </is>
      </c>
      <c r="H3" s="7" t="inlineStr">
        <is>
          <t>Срок</t>
        </is>
      </c>
      <c r="I3" s="7" t="inlineStr">
        <is>
          <t>Оценка (факт)</t>
        </is>
      </c>
      <c r="J3" s="7" t="inlineStr">
        <is>
          <t>Статус</t>
        </is>
      </c>
    </row>
    <row r="4">
      <c r="A4" s="16" t="inlineStr">
        <is>
          <t>РП-1 — Кущенко Д. А. (ДЕМО)</t>
        </is>
      </c>
      <c r="B4" s="16" t="inlineStr">
        <is>
          <t>(например: Оптимизация потоков и процессов)</t>
        </is>
      </c>
      <c r="C4" s="16" t="inlineStr">
        <is>
          <t>Создание информационного центра проекта: разрыв «себя − коллеги» = +1.4 (себя 5.0; коллеги 3.6)</t>
        </is>
      </c>
      <c r="D4" s="16" t="inlineStr">
        <is>
          <t>3.6</t>
        </is>
      </c>
      <c r="E4" s="16" t="inlineStr">
        <is>
          <t>5.0</t>
        </is>
      </c>
      <c r="F4" s="16" t="inlineStr">
        <is>
          <t>Практика на площадке под наблюдением наставника (2–3 применения навыка), методический разбор с наставником, защита презентации результата; при необходимости — обучение (программы «Академии производительности»)</t>
        </is>
      </c>
      <c r="G4" s="16" t="inlineStr">
        <is>
          <t>(ФИО РП ФЦК / РЦК)</t>
        </is>
      </c>
      <c r="H4" s="16" t="inlineStr">
        <is>
          <t>к концу квартала</t>
        </is>
      </c>
      <c r="I4" s="16" t="inlineStr"/>
      <c r="J4" s="16" t="inlineStr">
        <is>
          <t>план</t>
        </is>
      </c>
    </row>
    <row r="5">
      <c r="A5" s="16" t="inlineStr">
        <is>
          <t>РП-5 — Яковлев А. В. (ДЕМО)</t>
        </is>
      </c>
      <c r="B5" s="16" t="inlineStr">
        <is>
          <t>(например: Оптимизация потоков и процессов)</t>
        </is>
      </c>
      <c r="C5" s="16" t="inlineStr">
        <is>
          <t>Производственный анализ: средний балл коллег = 1.6 (ниже требуемого уровня 3)</t>
        </is>
      </c>
      <c r="D5" s="16" t="inlineStr">
        <is>
          <t>1.6</t>
        </is>
      </c>
      <c r="E5" s="16" t="inlineStr">
        <is>
          <t>4.0</t>
        </is>
      </c>
      <c r="F5" s="16" t="inlineStr">
        <is>
          <t>Этап 2 стажировки: практика инструмента на 2 предприятиях под наблюдением наставника, разбор бланков с наставником, электронные курсы «Академии производительности» по соответствующему инструменту, защитная презентация</t>
        </is>
      </c>
      <c r="G5" s="16" t="inlineStr">
        <is>
          <t>(ФИО РП ФЦК / РЦК)</t>
        </is>
      </c>
      <c r="H5" s="16" t="inlineStr">
        <is>
          <t>3 месяца</t>
        </is>
      </c>
      <c r="I5" s="16" t="inlineStr"/>
      <c r="J5" s="16" t="inlineStr">
        <is>
          <t>план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2026-09-03T09:55:33Z</dcterms:created>
  <dcterms:modified xsi:type="dcterms:W3CDTF">2026-09-03T09:55:33Z</dcterms:modified>
</cp:coreProperties>
</file>
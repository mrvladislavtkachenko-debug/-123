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омпетенции" sheetId="2" state="visible" r:id="rId2"/>
    <sheet name="Оценки" sheetId="3" state="visible" r:id="rId3"/>
    <sheet name="Сводка" sheetId="4" state="visible" r:id="rId4"/>
    <sheet name="План развити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color rgb="00000000"/>
      <sz val="11"/>
    </font>
    <font>
      <i val="1"/>
      <color rgb="00808080"/>
      <sz val="10"/>
    </font>
    <font>
      <b val="1"/>
      <color rgb="00FFFFFF"/>
    </font>
    <font>
      <b val="1"/>
    </font>
    <font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center"/>
    </xf>
    <xf numFmtId="0" fontId="0" fillId="3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vertical="center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 wrapText="1"/>
    </xf>
    <xf numFmtId="0" fontId="6" fillId="5" borderId="1" pivotButton="0" quotePrefix="0" xfId="0"/>
    <xf numFmtId="0" fontId="6" fillId="5" borderId="1" applyAlignment="1" pivotButton="0" quotePrefix="0" xfId="0">
      <alignment vertical="top" wrapText="1"/>
    </xf>
    <xf numFmtId="164" fontId="6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9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ОЦЕНКА 360° РУКОВОДИТЕЛЕЙ ПРОЕКТОВ РЦК — ИНСТРУКЦИЯ ПО ПРОВЕДЕНИЮ</t>
        </is>
      </c>
    </row>
    <row r="3">
      <c r="B3" s="2" t="inlineStr">
        <is>
          <t>Что такое оценка 360°. Руководитель проекта оценивается по ряду компетенций несколькими группами: его непосредственный руководитель, коллеги, подчинённые, внутренние клиенты (предприятия-участники, ФЦК, смежные подразделения), плюс самооценка. Это даёт картину «со всех сторон» и показывает слепые зоны — где человек оценивает себя выше, чем его видят окружающие.</t>
        </is>
      </c>
    </row>
    <row r="5">
      <c r="B5" s="2" t="inlineStr">
        <is>
          <t>ШКАЛА ОЦЕНИВАНИЯ (для всех компетенций):</t>
        </is>
      </c>
    </row>
    <row r="6">
      <c r="B6" s="3" t="inlineStr">
        <is>
          <t>1 — Не соответствует: поведение не наблюдается, компетенция не проявляется</t>
        </is>
      </c>
    </row>
    <row r="7">
      <c r="B7" s="3" t="inlineStr">
        <is>
          <t>2 — Частично соответствует: проявления единичные, нестабильные</t>
        </is>
      </c>
    </row>
    <row r="8">
      <c r="B8" s="3" t="inlineStr">
        <is>
          <t>3 — Соответствует: устойчивое поведение, соответствует требованиям</t>
        </is>
      </c>
    </row>
    <row r="9">
      <c r="B9" s="3" t="inlineStr">
        <is>
          <t>4 — Высокий уровень: устойчиво превышает требования, пример для коллег</t>
        </is>
      </c>
    </row>
    <row r="10">
      <c r="B10" s="3" t="inlineStr">
        <is>
          <t>5 — Выдающийся: лучший в организации, менторит и обучает других</t>
        </is>
      </c>
    </row>
    <row r="12">
      <c r="B12" s="2" t="inlineStr">
        <is>
          <t>ШАГИ ПРОВЕДЕНИЯ:</t>
        </is>
      </c>
    </row>
    <row r="13">
      <c r="B13" s="3" t="inlineStr">
        <is>
          <t>1. Подготовьте список опрашиваемых для каждого из 7 руководителей. Рекомендуемый состав: 1 непосредственный руководитель; 3–5 коллег (соседние руководители проектов); 3–5 подчинённых; 1–2 внутренних клиента (предприятия-участники, куратор/ФЦК). Самооценку руководитель заполняет сам. Всего на человека — 8–15 респондентов.</t>
        </is>
      </c>
    </row>
    <row r="14">
      <c r="B14" s="3" t="inlineStr">
        <is>
          <t>2. Проведите короткий инструктаж респондентов: цель оценки — развитие (не депремирование), шкала 1–5, конфиденциальность (результаты отдельных людей никому не показываются), срок — 2–3 недели.</t>
        </is>
      </c>
    </row>
    <row r="15">
      <c r="B15" s="3" t="inlineStr">
        <is>
          <t>3. Сбор оценок. Либо каждый респондент заполняет в листе «Оценки» только СВОЙ столбец в блоке того руководителя, которого он оценивает (файл по очереди передаётся), либо оценки собираются онлайн-формой, а вы вносите их в лист «Оценки». Целые числа от 1 до 5 (есть проверка ввода).</t>
        </is>
      </c>
    </row>
    <row r="16">
      <c r="B16" s="3" t="inlineStr">
        <is>
          <t>4. Лист «Сводка» считается автоматически: средние по группам, общий средний балл «Другие» и разрыв «себя vs. другие» по каждой компетенции. Сигналы: красный разрыв ≥ 0,5 — руководитель переоценивает себя; оранжевый средний балл «Другие» &lt; 3 — компетенция ниже требуемого уровня.</t>
        </is>
      </c>
    </row>
    <row r="17">
      <c r="B17" s="3" t="inlineStr">
        <is>
          <t>5. Интерпретация. По каждой компетенции смотрите: а) низкий балл «Других» (&lt; 3) — зона развития; б) большой разрыв в пользу самооценки — слепая зона, стоит обсудить; в) высокие баллы во всех группах — сильная сторона.</t>
        </is>
      </c>
    </row>
    <row r="18">
      <c r="B18" s="3" t="inlineStr">
        <is>
          <t>6. Проведите личную встречу с каждым руководителем (20–30 минут): покажите сводку (только групповые средние, без имён), обсудите 2–3 сильные стороны и 2–3 зоны развития, согласуйте план развития (лист «План развития», формат — по приложению № 6 МР).</t>
        </is>
      </c>
    </row>
    <row r="20">
      <c r="B20" s="2" t="inlineStr">
        <is>
          <t>ПРАВИЛА КОНФИДЕНЦИАЛЬНОСТИ:</t>
        </is>
      </c>
    </row>
    <row r="21">
      <c r="B21" s="3" t="inlineStr">
        <is>
          <t>• Опасываемый видит только средние по группам и общий результат — не оценки конкретных людей.</t>
        </is>
      </c>
    </row>
    <row r="22">
      <c r="B22" s="3" t="inlineStr">
        <is>
          <t>• Лист «Оценки» (сырые данные) хранит и видит только организатор оценки (вы).</t>
        </is>
      </c>
    </row>
    <row r="23">
      <c r="B23" s="3" t="inlineStr">
        <is>
          <t>• В группе должно быть не менее 2 респондентов, иначе средний балл группы нерепрезентативен — дополните группу или не показывайте её. Столбцы заготовлены на 3 коллег и 3 подчинённых; если людей меньше — оставьте пустые ячейки, формулы посчитают по заполненным.</t>
        </is>
      </c>
    </row>
    <row r="24">
      <c r="B24" s="3" t="inlineStr">
        <is>
          <t>• Оценки используются для развития (coaching, обучение, план развития), а не для депремирования — иначе респонденты будут оценивать «для галочки».</t>
        </is>
      </c>
    </row>
    <row r="26">
      <c r="B26" s="2" t="inlineStr">
        <is>
          <t xml:space="preserve">ИСТОЧНИК КОМПЕТЕНЦИЙ: </t>
        </is>
      </c>
    </row>
    <row r="27">
      <c r="B27" s="3" t="inlineStr">
        <is>
          <t>• Общие (поведенческие) компетенции — профиль должности «Руководитель проекта» (приложение № 2 МР-02-2025 «Организация работы региональных центров компетенций в сфере производительности труда в субъектах РФ», ред. 1, утв. ФЦК 28.01.2025): организация и контроль (критически важно), коммуникация и влияние, системное мышление, ответственность за результат, открытость новому и адаптивность, мотивация других людей (желательно), мотивация на работу в рамках федерального проекта и желание учиться.</t>
        </is>
      </c>
    </row>
    <row r="28">
      <c r="B28" s="3" t="inlineStr">
        <is>
          <t>• Профессиональная компетенция (инструменты «Бережливого производства», проектное управление) — приложение № 3 МР-02-2025 «Организация работы региональных центров компетенций в сфере производительности труда в субъектах РФ», ред. 1, утв. ФЦК 28.01.2025 (модель профессиональных компетенций сотрудников РЦК) и профиль должности.</t>
        </is>
      </c>
    </row>
    <row r="29">
      <c r="B29" s="3" t="inlineStr">
        <is>
          <t>• Формат плана развития и шкала уровней знаний/навыков (0–3, шаг 0,5) — приложение № 6 МР-02-2025 «Организация работы региональных центров компетенций в сфере производительности труда в субъектах РФ», ред. 1, утв. ФЦК 28.01.2025. Пункт 10.4 МР: матрица компетенций и планы развития сотрудников размещаются в инфоцентре РЦК.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95" customWidth="1" min="3" max="3"/>
  </cols>
  <sheetData>
    <row r="1">
      <c r="A1" s="4" t="inlineStr">
        <is>
          <t>Компетенции руководителя проекта РЦК (по МР-02-2025, ред. 1)</t>
        </is>
      </c>
    </row>
    <row r="2" ht="28" customHeight="1">
      <c r="A2" s="5" t="inlineStr">
        <is>
          <t>Общие компетенции — профиль должности «Руководитель проекта» (приложение № 2 МР). Последняя — профессиональная (приложение № 3 / профиль должности). При необходимости дополните/измените, сохранив порядок строк, и синхронизируйте на листах «Оценки» и «Сводка».</t>
        </is>
      </c>
    </row>
    <row r="3">
      <c r="A3" s="6" t="inlineStr">
        <is>
          <t>№</t>
        </is>
      </c>
      <c r="B3" s="6" t="inlineStr">
        <is>
          <t>Компетенция</t>
        </is>
      </c>
      <c r="C3" s="6" t="inlineStr">
        <is>
          <t>Что входит (критерии оценки)</t>
        </is>
      </c>
    </row>
    <row r="4" ht="46" customHeight="1">
      <c r="A4" s="7" t="n">
        <v>1</v>
      </c>
      <c r="B4" s="8" t="inlineStr">
        <is>
          <t>Организация и контроль (критически важно по МР)</t>
        </is>
      </c>
      <c r="C4" s="9" t="inlineStr">
        <is>
          <t>Формирование требований к составу рабочей группы, план перехода от текущей ситуации к целевому состоянию, определение приоритетных заданий, мониторинг, оценка и корректировка хода проекта; планирование и организация собственной работы и работы команды</t>
        </is>
      </c>
    </row>
    <row r="5" ht="46" customHeight="1">
      <c r="A5" s="7" t="n">
        <v>2</v>
      </c>
      <c r="B5" s="8" t="inlineStr">
        <is>
          <t>Коммуникация и влияние</t>
        </is>
      </c>
      <c r="C5" s="9" t="inlineStr">
        <is>
          <t>Установление и развитие контакта, мотивация, вовлечение в обсуждение, грамотная речь, активное слушание, донесение информации; презентации перед аудиторией 10–150 человек; модерация групповой работы (мозговой штурм, поиск решений); техники и принципы ведения переговоров</t>
        </is>
      </c>
    </row>
    <row r="6" ht="46" customHeight="1">
      <c r="A6" s="7" t="n">
        <v>3</v>
      </c>
      <c r="B6" s="8" t="inlineStr">
        <is>
          <t>Системное мышление</t>
        </is>
      </c>
      <c r="C6" s="9" t="inlineStr">
        <is>
          <t>Видение проекта и предприятия в целом; формирование гипотезы на этапе анализа проблемной ситуации; сбор, структурирование и анализ разнородных данных (интервью, анкетирование); выявление резервов и первопричин</t>
        </is>
      </c>
    </row>
    <row r="7" ht="46" customHeight="1">
      <c r="A7" s="7" t="n">
        <v>4</v>
      </c>
      <c r="B7" s="8" t="inlineStr">
        <is>
          <t>Ответственность за результат</t>
        </is>
      </c>
      <c r="C7" s="9" t="inlineStr">
        <is>
          <t>Достижение показателей федерального проекта: количество охваченных предприятий, прирост производительности труда, количество обученных, количество реализованных проектов; ответственность за результат своих проектов</t>
        </is>
      </c>
    </row>
    <row r="8" ht="46" customHeight="1">
      <c r="A8" s="7" t="n">
        <v>5</v>
      </c>
      <c r="B8" s="8" t="inlineStr">
        <is>
          <t>Открытость новому и адаптивность</t>
        </is>
      </c>
      <c r="C8" s="9" t="inlineStr">
        <is>
          <t>Готовность осваивать новые инструменты «Бережливого производства» и методики ФЦК; быстрая перестройка при изменении условий, предприятий-участников, приоритетов</t>
        </is>
      </c>
    </row>
    <row r="9" ht="46" customHeight="1">
      <c r="A9" s="7" t="n">
        <v>6</v>
      </c>
      <c r="B9" s="8" t="inlineStr">
        <is>
          <t>Мотивация других людей (желательно по МР)</t>
        </is>
      </c>
      <c r="C9" s="9" t="inlineStr">
        <is>
          <t>Вовлечение и мотивация сотрудников предприятий-участников в процесс изменений; практическое обучение рабочих групп инструментам; наставничество; навыки обучения взрослых людей (обратная связь, вовлечение в обсуждение)</t>
        </is>
      </c>
    </row>
    <row r="10" ht="46" customHeight="1">
      <c r="A10" s="7" t="n">
        <v>7</v>
      </c>
      <c r="B10" s="8" t="inlineStr">
        <is>
          <t>Мотивация на работу в рамках федерального проекта, желание учиться и развиваться</t>
        </is>
      </c>
      <c r="C10" s="9" t="inlineStr">
        <is>
          <t>Активная работа на цели федерального и регионального проектов «Производительность труда»; систематическое развитие профессиональных компетенций (обучение, сертификация, самостоятельное изучение методик ФЦК)</t>
        </is>
      </c>
    </row>
    <row r="11" ht="46" customHeight="1">
      <c r="A11" s="7" t="n">
        <v>8</v>
      </c>
      <c r="B11" s="8" t="inlineStr">
        <is>
          <t>Профессиональная экспертиза: инструменты «Бережливого производства» и проектное управление</t>
        </is>
      </c>
      <c r="C11" s="9" t="inlineStr">
        <is>
          <t>(профессиональная компетенция, по профилю должности и приложению № 3 МР) Знание и применение инструментов ФЦК: картирование, диаграмма спагетти, производственный анализ, 5С, стандартизированная работа, методы поиска первопричин, SMED, канбан, ОЕЕ; основы проектного управления; разработка и проведение презентаций для аудитории 10–150 человек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40" customHeight="1">
      <c r="A1" s="10" t="inlineStr">
        <is>
          <t>СЫРЫЕ ОЦЕНКИ (целые числа 1–5). Каждый респондент заполняет ТОЛЬКО свой столбец и ТОЛЬКО блок руководителя, которого он оценивает. Столбцы «Коллега N / Подчинённый N» — конкретные люди, имена фиксирует организатор отдельно (не в таблице!). Лист видит только организатор.</t>
        </is>
      </c>
    </row>
    <row r="2" ht="26" customHeight="1">
      <c r="A2" s="6" t="inlineStr">
        <is>
          <t>№</t>
        </is>
      </c>
      <c r="B2" s="6" t="inlineStr">
        <is>
          <t>Компетенция</t>
        </is>
      </c>
      <c r="C2" s="6" t="inlineStr">
        <is>
          <t>Руководитель</t>
        </is>
      </c>
      <c r="D2" s="6" t="inlineStr">
        <is>
          <t>Коллега 1</t>
        </is>
      </c>
      <c r="E2" s="6" t="inlineStr">
        <is>
          <t>Коллега 2</t>
        </is>
      </c>
      <c r="F2" s="6" t="inlineStr">
        <is>
          <t>Коллега 3</t>
        </is>
      </c>
      <c r="G2" s="6" t="inlineStr">
        <is>
          <t>Подчинённый 1</t>
        </is>
      </c>
      <c r="H2" s="6" t="inlineStr">
        <is>
          <t>Подчинённый 2</t>
        </is>
      </c>
      <c r="I2" s="6" t="inlineStr">
        <is>
          <t>Подчинённый 3</t>
        </is>
      </c>
      <c r="J2" s="6" t="inlineStr">
        <is>
          <t>Клиент 1</t>
        </is>
      </c>
      <c r="K2" s="6" t="inlineStr">
        <is>
          <t>Сам (сама)</t>
        </is>
      </c>
    </row>
    <row r="3" ht="20" customHeight="1">
      <c r="A3" s="11" t="inlineStr">
        <is>
          <t>РП-1 — Смирнов А. П. (ПРИМЕР — замените данные)</t>
        </is>
      </c>
    </row>
    <row r="4">
      <c r="A4" s="7" t="n">
        <v>1</v>
      </c>
      <c r="B4" s="9" t="inlineStr">
        <is>
          <t>Организация и контроль (критически важно по МР)</t>
        </is>
      </c>
      <c r="C4" s="12" t="n">
        <v>3</v>
      </c>
      <c r="D4" s="12" t="n">
        <v>3</v>
      </c>
      <c r="E4" s="12" t="n">
        <v>3</v>
      </c>
      <c r="F4" s="12" t="n">
        <v>4</v>
      </c>
      <c r="G4" s="12" t="n">
        <v>3</v>
      </c>
      <c r="H4" s="12" t="n">
        <v>3</v>
      </c>
      <c r="I4" s="12" t="n">
        <v>3</v>
      </c>
      <c r="J4" s="12" t="n">
        <v>3</v>
      </c>
      <c r="K4" s="12" t="n">
        <v>4</v>
      </c>
    </row>
    <row r="5">
      <c r="A5" s="7" t="n">
        <v>2</v>
      </c>
      <c r="B5" s="9" t="inlineStr">
        <is>
          <t>Коммуникация и влияние</t>
        </is>
      </c>
      <c r="C5" s="12" t="n">
        <v>4</v>
      </c>
      <c r="D5" s="12" t="n">
        <v>4</v>
      </c>
      <c r="E5" s="12" t="n">
        <v>3</v>
      </c>
      <c r="F5" s="12" t="n">
        <v>4</v>
      </c>
      <c r="G5" s="12" t="n">
        <v>4</v>
      </c>
      <c r="H5" s="12" t="n">
        <v>4</v>
      </c>
      <c r="I5" s="12" t="n">
        <v>4</v>
      </c>
      <c r="J5" s="12" t="n">
        <v>4</v>
      </c>
      <c r="K5" s="12" t="n">
        <v>5</v>
      </c>
    </row>
    <row r="6">
      <c r="A6" s="7" t="n">
        <v>3</v>
      </c>
      <c r="B6" s="9" t="inlineStr">
        <is>
          <t>Системное мышление</t>
        </is>
      </c>
      <c r="C6" s="12" t="n">
        <v>3</v>
      </c>
      <c r="D6" s="12" t="n">
        <v>4</v>
      </c>
      <c r="E6" s="12" t="n">
        <v>3</v>
      </c>
      <c r="F6" s="12" t="n">
        <v>4</v>
      </c>
      <c r="G6" s="12" t="n">
        <v>3</v>
      </c>
      <c r="H6" s="12" t="n">
        <v>3</v>
      </c>
      <c r="I6" s="12" t="n">
        <v>3</v>
      </c>
      <c r="J6" s="12" t="n">
        <v>4</v>
      </c>
      <c r="K6" s="12" t="n">
        <v>4</v>
      </c>
    </row>
    <row r="7">
      <c r="A7" s="7" t="n">
        <v>4</v>
      </c>
      <c r="B7" s="9" t="inlineStr">
        <is>
          <t>Ответственность за результат</t>
        </is>
      </c>
      <c r="C7" s="12" t="n">
        <v>4</v>
      </c>
      <c r="D7" s="12" t="n">
        <v>4</v>
      </c>
      <c r="E7" s="12" t="n">
        <v>4</v>
      </c>
      <c r="F7" s="12" t="n">
        <v>4</v>
      </c>
      <c r="G7" s="12" t="n">
        <v>4</v>
      </c>
      <c r="H7" s="12" t="n">
        <v>4</v>
      </c>
      <c r="I7" s="12" t="n">
        <v>4</v>
      </c>
      <c r="J7" s="12" t="n">
        <v>4</v>
      </c>
      <c r="K7" s="12" t="n">
        <v>5</v>
      </c>
    </row>
    <row r="8">
      <c r="A8" s="7" t="n">
        <v>5</v>
      </c>
      <c r="B8" s="9" t="inlineStr">
        <is>
          <t>Открытость новому и адаптивность</t>
        </is>
      </c>
      <c r="C8" s="12" t="n">
        <v>4</v>
      </c>
      <c r="D8" s="12" t="n">
        <v>4</v>
      </c>
      <c r="E8" s="12" t="n">
        <v>4</v>
      </c>
      <c r="F8" s="12" t="n">
        <v>4</v>
      </c>
      <c r="G8" s="12" t="n">
        <v>4</v>
      </c>
      <c r="H8" s="12" t="n">
        <v>4</v>
      </c>
      <c r="I8" s="12" t="n">
        <v>3</v>
      </c>
      <c r="J8" s="12" t="n">
        <v>4</v>
      </c>
      <c r="K8" s="12" t="n">
        <v>4</v>
      </c>
    </row>
    <row r="9">
      <c r="A9" s="7" t="n">
        <v>6</v>
      </c>
      <c r="B9" s="9" t="inlineStr">
        <is>
          <t>Мотивация других людей (желательно по МР)</t>
        </is>
      </c>
      <c r="C9" s="12" t="n">
        <v>3</v>
      </c>
      <c r="D9" s="12" t="n">
        <v>3</v>
      </c>
      <c r="E9" s="12" t="n">
        <v>3</v>
      </c>
      <c r="F9" s="12" t="n">
        <v>4</v>
      </c>
      <c r="G9" s="12" t="n">
        <v>4</v>
      </c>
      <c r="H9" s="12" t="n">
        <v>4</v>
      </c>
      <c r="I9" s="12" t="n">
        <v>3</v>
      </c>
      <c r="J9" s="12" t="n">
        <v>3</v>
      </c>
      <c r="K9" s="12" t="n">
        <v>4</v>
      </c>
    </row>
    <row r="10">
      <c r="A10" s="7" t="n">
        <v>7</v>
      </c>
      <c r="B10" s="9" t="inlineStr">
        <is>
          <t>Мотивация на работу в рамках федерального проекта, желание учиться и развиваться</t>
        </is>
      </c>
      <c r="C10" s="12" t="n">
        <v>4</v>
      </c>
      <c r="D10" s="12" t="n">
        <v>4</v>
      </c>
      <c r="E10" s="12" t="n">
        <v>4</v>
      </c>
      <c r="F10" s="12" t="n">
        <v>4</v>
      </c>
      <c r="G10" s="12" t="n">
        <v>3</v>
      </c>
      <c r="H10" s="12" t="n">
        <v>4</v>
      </c>
      <c r="I10" s="12" t="n">
        <v>4</v>
      </c>
      <c r="J10" s="12" t="n">
        <v>4</v>
      </c>
      <c r="K10" s="12" t="n">
        <v>4</v>
      </c>
    </row>
    <row r="11">
      <c r="A11" s="7" t="n">
        <v>8</v>
      </c>
      <c r="B11" s="9" t="inlineStr">
        <is>
          <t>Профессиональная экспертиза: инструменты «Бережливого производства» и проектное управление</t>
        </is>
      </c>
      <c r="C11" s="12" t="n">
        <v>4</v>
      </c>
      <c r="D11" s="12" t="n">
        <v>4</v>
      </c>
      <c r="E11" s="12" t="n">
        <v>4</v>
      </c>
      <c r="F11" s="12" t="n">
        <v>4</v>
      </c>
      <c r="G11" s="12" t="n">
        <v>4</v>
      </c>
      <c r="H11" s="12" t="n">
        <v>4</v>
      </c>
      <c r="I11" s="12" t="n">
        <v>4</v>
      </c>
      <c r="J11" s="12" t="n">
        <v>4</v>
      </c>
      <c r="K11" s="12" t="n">
        <v>4</v>
      </c>
    </row>
    <row r="13" ht="20" customHeight="1">
      <c r="A13" s="13" t="inlineStr">
        <is>
          <t>РП-2 — (впишите ФИО руководителя проекта 2)</t>
        </is>
      </c>
    </row>
    <row r="14">
      <c r="A14" s="7" t="n">
        <v>1</v>
      </c>
      <c r="B14" s="9" t="inlineStr">
        <is>
          <t>Организация и контроль (критически важно по МР)</t>
        </is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7" t="n">
        <v>2</v>
      </c>
      <c r="B15" s="9" t="inlineStr">
        <is>
          <t>Коммуникация и влияние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7" t="n">
        <v>3</v>
      </c>
      <c r="B16" s="9" t="inlineStr">
        <is>
          <t>Системное мышление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7" t="n">
        <v>4</v>
      </c>
      <c r="B17" s="9" t="inlineStr">
        <is>
          <t>Ответственность за результат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7" t="n">
        <v>5</v>
      </c>
      <c r="B18" s="9" t="inlineStr">
        <is>
          <t>Открытость новому и адаптивность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7" t="n">
        <v>6</v>
      </c>
      <c r="B19" s="9" t="inlineStr">
        <is>
          <t>Мотивация других людей (желательно по МР)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7" t="n">
        <v>7</v>
      </c>
      <c r="B20" s="9" t="inlineStr">
        <is>
          <t>Мотивация на работу в рамках федерального проекта, желание учиться и развиваться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7" t="n">
        <v>8</v>
      </c>
      <c r="B21" s="9" t="inlineStr">
        <is>
          <t>Профессиональная экспертиза: инструменты «Бережливого производства» и проектное управление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3" ht="20" customHeight="1">
      <c r="A23" s="13" t="inlineStr">
        <is>
          <t>РП-3 — (впишите ФИО руководителя проекта 3)</t>
        </is>
      </c>
    </row>
    <row r="24">
      <c r="A24" s="7" t="n">
        <v>1</v>
      </c>
      <c r="B24" s="9" t="inlineStr">
        <is>
          <t>Организация и контроль (критически важно по МР)</t>
        </is>
      </c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</row>
    <row r="25">
      <c r="A25" s="7" t="n">
        <v>2</v>
      </c>
      <c r="B25" s="9" t="inlineStr">
        <is>
          <t>Коммуникация и влияние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>
      <c r="A26" s="7" t="n">
        <v>3</v>
      </c>
      <c r="B26" s="9" t="inlineStr">
        <is>
          <t>Системное мышление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</row>
    <row r="27">
      <c r="A27" s="7" t="n">
        <v>4</v>
      </c>
      <c r="B27" s="9" t="inlineStr">
        <is>
          <t>Ответственность за результат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</row>
    <row r="28">
      <c r="A28" s="7" t="n">
        <v>5</v>
      </c>
      <c r="B28" s="9" t="inlineStr">
        <is>
          <t>Открытость новому и адаптивность</t>
        </is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</row>
    <row r="29">
      <c r="A29" s="7" t="n">
        <v>6</v>
      </c>
      <c r="B29" s="9" t="inlineStr">
        <is>
          <t>Мотивация других людей (желательно по МР)</t>
        </is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</row>
    <row r="30">
      <c r="A30" s="7" t="n">
        <v>7</v>
      </c>
      <c r="B30" s="9" t="inlineStr">
        <is>
          <t>Мотивация на работу в рамках федерального проекта, желание учиться и развиваться</t>
        </is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</row>
    <row r="31">
      <c r="A31" s="7" t="n">
        <v>8</v>
      </c>
      <c r="B31" s="9" t="inlineStr">
        <is>
          <t>Профессиональная экспертиза: инструменты «Бережливого производства» и проектное управление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</row>
    <row r="33" ht="20" customHeight="1">
      <c r="A33" s="13" t="inlineStr">
        <is>
          <t>РП-4 — (впишите ФИО руководителя проекта 4)</t>
        </is>
      </c>
    </row>
    <row r="34">
      <c r="A34" s="7" t="n">
        <v>1</v>
      </c>
      <c r="B34" s="9" t="inlineStr">
        <is>
          <t>Организация и контроль (критически важно по МР)</t>
        </is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</row>
    <row r="35">
      <c r="A35" s="7" t="n">
        <v>2</v>
      </c>
      <c r="B35" s="9" t="inlineStr">
        <is>
          <t>Коммуникация и влияние</t>
        </is>
      </c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</row>
    <row r="36">
      <c r="A36" s="7" t="n">
        <v>3</v>
      </c>
      <c r="B36" s="9" t="inlineStr">
        <is>
          <t>Системное мышление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</row>
    <row r="37">
      <c r="A37" s="7" t="n">
        <v>4</v>
      </c>
      <c r="B37" s="9" t="inlineStr">
        <is>
          <t>Ответственность за результат</t>
        </is>
      </c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</row>
    <row r="38">
      <c r="A38" s="7" t="n">
        <v>5</v>
      </c>
      <c r="B38" s="9" t="inlineStr">
        <is>
          <t>Открытость новому и адаптивность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</row>
    <row r="39">
      <c r="A39" s="7" t="n">
        <v>6</v>
      </c>
      <c r="B39" s="9" t="inlineStr">
        <is>
          <t>Мотивация других людей (желательно по МР)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</row>
    <row r="40">
      <c r="A40" s="7" t="n">
        <v>7</v>
      </c>
      <c r="B40" s="9" t="inlineStr">
        <is>
          <t>Мотивация на работу в рамках федерального проекта, желание учиться и развиваться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</row>
    <row r="41">
      <c r="A41" s="7" t="n">
        <v>8</v>
      </c>
      <c r="B41" s="9" t="inlineStr">
        <is>
          <t>Профессиональная экспертиза: инструменты «Бережливого производства» и проектное управление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</row>
    <row r="43" ht="20" customHeight="1">
      <c r="A43" s="13" t="inlineStr">
        <is>
          <t>РП-5 — (впишите ФИО руководителя проекта 5)</t>
        </is>
      </c>
    </row>
    <row r="44">
      <c r="A44" s="7" t="n">
        <v>1</v>
      </c>
      <c r="B44" s="9" t="inlineStr">
        <is>
          <t>Организация и контроль (критически важно по МР)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</row>
    <row r="45">
      <c r="A45" s="7" t="n">
        <v>2</v>
      </c>
      <c r="B45" s="9" t="inlineStr">
        <is>
          <t>Коммуникация и влияние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>
      <c r="A46" s="7" t="n">
        <v>3</v>
      </c>
      <c r="B46" s="9" t="inlineStr">
        <is>
          <t>Системное мышление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</row>
    <row r="47">
      <c r="A47" s="7" t="n">
        <v>4</v>
      </c>
      <c r="B47" s="9" t="inlineStr">
        <is>
          <t>Ответственность за результат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>
      <c r="A48" s="7" t="n">
        <v>5</v>
      </c>
      <c r="B48" s="9" t="inlineStr">
        <is>
          <t>Открытость новому и адаптивность</t>
        </is>
      </c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</row>
    <row r="49">
      <c r="A49" s="7" t="n">
        <v>6</v>
      </c>
      <c r="B49" s="9" t="inlineStr">
        <is>
          <t>Мотивация других людей (желательно по МР)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>
      <c r="A50" s="7" t="n">
        <v>7</v>
      </c>
      <c r="B50" s="9" t="inlineStr">
        <is>
          <t>Мотивация на работу в рамках федерального проекта, желание учиться и развиваться</t>
        </is>
      </c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</row>
    <row r="51">
      <c r="A51" s="7" t="n">
        <v>8</v>
      </c>
      <c r="B51" s="9" t="inlineStr">
        <is>
          <t>Профессиональная экспертиза: инструменты «Бережливого производства» и проектное управление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3" ht="20" customHeight="1">
      <c r="A53" s="13" t="inlineStr">
        <is>
          <t>РП-6 — (впишите ФИО руководителя проекта 6)</t>
        </is>
      </c>
    </row>
    <row r="54">
      <c r="A54" s="7" t="n">
        <v>1</v>
      </c>
      <c r="B54" s="9" t="inlineStr">
        <is>
          <t>Организация и контроль (критически важно по МР)</t>
        </is>
      </c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</row>
    <row r="55">
      <c r="A55" s="7" t="n">
        <v>2</v>
      </c>
      <c r="B55" s="9" t="inlineStr">
        <is>
          <t>Коммуникация и влияние</t>
        </is>
      </c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>
      <c r="A56" s="7" t="n">
        <v>3</v>
      </c>
      <c r="B56" s="9" t="inlineStr">
        <is>
          <t>Системное мышление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</row>
    <row r="57">
      <c r="A57" s="7" t="n">
        <v>4</v>
      </c>
      <c r="B57" s="9" t="inlineStr">
        <is>
          <t>Ответственность за результат</t>
        </is>
      </c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</row>
    <row r="58">
      <c r="A58" s="7" t="n">
        <v>5</v>
      </c>
      <c r="B58" s="9" t="inlineStr">
        <is>
          <t>Открытость новому и адаптивность</t>
        </is>
      </c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</row>
    <row r="59">
      <c r="A59" s="7" t="n">
        <v>6</v>
      </c>
      <c r="B59" s="9" t="inlineStr">
        <is>
          <t>Мотивация других людей (желательно по МР)</t>
        </is>
      </c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</row>
    <row r="60">
      <c r="A60" s="7" t="n">
        <v>7</v>
      </c>
      <c r="B60" s="9" t="inlineStr">
        <is>
          <t>Мотивация на работу в рамках федерального проекта, желание учиться и развиваться</t>
        </is>
      </c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</row>
    <row r="61">
      <c r="A61" s="7" t="n">
        <v>8</v>
      </c>
      <c r="B61" s="9" t="inlineStr">
        <is>
          <t>Профессиональная экспертиза: инструменты «Бережливого производства» и проектное управление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</row>
    <row r="63" ht="20" customHeight="1">
      <c r="A63" s="13" t="inlineStr">
        <is>
          <t>РП-7 — (впишите ФИО руководителя проекта 7)</t>
        </is>
      </c>
    </row>
    <row r="64">
      <c r="A64" s="7" t="n">
        <v>1</v>
      </c>
      <c r="B64" s="9" t="inlineStr">
        <is>
          <t>Организация и контроль (критически важно по МР)</t>
        </is>
      </c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</row>
    <row r="65">
      <c r="A65" s="7" t="n">
        <v>2</v>
      </c>
      <c r="B65" s="9" t="inlineStr">
        <is>
          <t>Коммуникация и влияние</t>
        </is>
      </c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</row>
    <row r="66">
      <c r="A66" s="7" t="n">
        <v>3</v>
      </c>
      <c r="B66" s="9" t="inlineStr">
        <is>
          <t>Системное мышление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</row>
    <row r="67">
      <c r="A67" s="7" t="n">
        <v>4</v>
      </c>
      <c r="B67" s="9" t="inlineStr">
        <is>
          <t>Ответственность за результат</t>
        </is>
      </c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</row>
    <row r="68">
      <c r="A68" s="7" t="n">
        <v>5</v>
      </c>
      <c r="B68" s="9" t="inlineStr">
        <is>
          <t>Открытость новому и адаптивность</t>
        </is>
      </c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</row>
    <row r="69">
      <c r="A69" s="7" t="n">
        <v>6</v>
      </c>
      <c r="B69" s="9" t="inlineStr">
        <is>
          <t>Мотивация других людей (желательно по МР)</t>
        </is>
      </c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</row>
    <row r="70">
      <c r="A70" s="7" t="n">
        <v>7</v>
      </c>
      <c r="B70" s="9" t="inlineStr">
        <is>
          <t>Мотивация на работу в рамках федерального проекта, желание учиться и развиваться</t>
        </is>
      </c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</row>
    <row r="71">
      <c r="A71" s="7" t="n">
        <v>8</v>
      </c>
      <c r="B71" s="9" t="inlineStr">
        <is>
          <t>Профессиональная экспертиза: инструменты «Бережливого производства» и проектное управление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</row>
  </sheetData>
  <mergeCells count="8">
    <mergeCell ref="A53:K53"/>
    <mergeCell ref="A3:K3"/>
    <mergeCell ref="A43:K43"/>
    <mergeCell ref="A33:K33"/>
    <mergeCell ref="A63:K63"/>
    <mergeCell ref="A13:K13"/>
    <mergeCell ref="A1:K1"/>
    <mergeCell ref="A23:K23"/>
  </mergeCells>
  <dataValidations count="1">
    <dataValidation sqref="C4:K4 C5:K5 C6:K6 C7:K7 C8:K8 C9:K9 C10:K10 C11:K11 C14:K14 C15:K15 C16:K16 C17:K17 C18:K18 C19:K19 C20:K20 C21:K21 C24:K24 C25:K25 C26:K26 C27:K27 C28:K28 C29:K29 C30:K30 C31:K31 C34:K34 C35:K35 C36:K36 C37:K37 C38:K38 C39:K39 C40:K40 C41:K41 C44:K44 C45:K45 C46:K46 C47:K47 C48:K48 C49:K49 C50:K50 C51:K51 C54:K54 C55:K55 C56:K56 C57:K57 C58:K58 C59:K59 C60:K60 C61:K61 C64:K64 C65:K65 C66:K66 C67:K67 C68:K68 C69:K69 C70:K70 C71:K71" showDropDown="0" showInputMessage="1" showErrorMessage="1" allowBlank="1" errorTitle="Неверная оценка" error="Введите целое число от 1 до 5" promptTitle="Шкала 1–5" prompt="Оценка 1–5 (см. шкалу на листе «Инструкция»)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9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6" customWidth="1" min="9" max="9"/>
    <col width="26" customWidth="1" min="10" max="10"/>
  </cols>
  <sheetData>
    <row r="1">
      <c r="A1" s="4" t="inlineStr">
        <is>
          <t>СВОДНАЯ ТАБЛИЦА РЕЗУЛЬТАТОВ 360 (считается автоматически из листа «Оценки»)</t>
        </is>
      </c>
    </row>
    <row r="2" ht="28" customHeight="1">
      <c r="A2" s="5" t="inlineStr">
        <is>
          <t>«Другие» = среднее по группам руководитель/коллеги/подчинённые/клиент. «Разрыв» = самооценка минус «Другие» (красный ≥ 0,5 — слепая зона). «Сигналы»: «низкий уровень» — средний балл «Другие» ниже 3.</t>
        </is>
      </c>
    </row>
    <row r="3" ht="30" customHeight="1">
      <c r="A3" s="6" t="inlineStr">
        <is>
          <t>Руководитель проекта</t>
        </is>
      </c>
      <c r="B3" s="6" t="inlineStr">
        <is>
          <t>Компетенция</t>
        </is>
      </c>
      <c r="C3" s="6" t="inlineStr">
        <is>
          <t>Себя</t>
        </is>
      </c>
      <c r="D3" s="6" t="inlineStr">
        <is>
          <t>Руководитель</t>
        </is>
      </c>
      <c r="E3" s="6" t="inlineStr">
        <is>
          <t>Коллеги (ср.)</t>
        </is>
      </c>
      <c r="F3" s="6" t="inlineStr">
        <is>
          <t>Подчинённые (ср.)</t>
        </is>
      </c>
      <c r="G3" s="6" t="inlineStr">
        <is>
          <t>Клиент (ср.)</t>
        </is>
      </c>
      <c r="H3" s="6" t="inlineStr">
        <is>
          <t>Другие (ср.)</t>
        </is>
      </c>
      <c r="I3" s="6" t="inlineStr">
        <is>
          <t>Разрыв (себя − другие)</t>
        </is>
      </c>
      <c r="J3" s="6" t="inlineStr">
        <is>
          <t>Сигналы</t>
        </is>
      </c>
    </row>
    <row r="4">
      <c r="A4" s="14" t="inlineStr">
        <is>
          <t>Смирнов А. П. (ПРИМЕР)</t>
        </is>
      </c>
      <c r="B4" s="9" t="inlineStr">
        <is>
          <t>Организация и контроль (критически важно по МР)</t>
        </is>
      </c>
      <c r="C4" s="15">
        <f>IF('Оценки'!K4="","",'Оценки'!K4)</f>
        <v/>
      </c>
      <c r="D4" s="15">
        <f>IF('Оценки'!C4="","",'Оценки'!C4)</f>
        <v/>
      </c>
      <c r="E4" s="15">
        <f>IF(COUNT('Оценки'!D4:F4)=0,"",AVERAGE('Оценки'!D4:F4))</f>
        <v/>
      </c>
      <c r="F4" s="15">
        <f>IF(COUNT('Оценки'!G4:I4)=0,"",AVERAGE('Оценки'!G4:I4))</f>
        <v/>
      </c>
      <c r="G4" s="15">
        <f>IF('Оценки'!J4="","",'Оценки'!J4)</f>
        <v/>
      </c>
      <c r="H4" s="15">
        <f>IF(COUNT(D4:G4)=0,"",AVERAGE(D4:G4))</f>
        <v/>
      </c>
      <c r="I4" s="15">
        <f>IF(OR(C4="",H4=""),"",C4-H4)</f>
        <v/>
      </c>
      <c r="J4" s="14">
        <f>IF(I4="","",IF(I4&gt;=0.5,"⚠ переоценивает себя",IF(H4&lt;3,"низкий уровень","")))</f>
        <v/>
      </c>
    </row>
    <row r="5">
      <c r="A5" s="14" t="inlineStr">
        <is>
          <t>Смирнов А. П. (ПРИМЕР)</t>
        </is>
      </c>
      <c r="B5" s="9" t="inlineStr">
        <is>
          <t>Коммуникация и влияние</t>
        </is>
      </c>
      <c r="C5" s="15">
        <f>IF('Оценки'!K5="","",'Оценки'!K5)</f>
        <v/>
      </c>
      <c r="D5" s="15">
        <f>IF('Оценки'!C5="","",'Оценки'!C5)</f>
        <v/>
      </c>
      <c r="E5" s="15">
        <f>IF(COUNT('Оценки'!D5:F5)=0,"",AVERAGE('Оценки'!D5:F5))</f>
        <v/>
      </c>
      <c r="F5" s="15">
        <f>IF(COUNT('Оценки'!G5:I5)=0,"",AVERAGE('Оценки'!G5:I5))</f>
        <v/>
      </c>
      <c r="G5" s="15">
        <f>IF('Оценки'!J5="","",'Оценки'!J5)</f>
        <v/>
      </c>
      <c r="H5" s="15">
        <f>IF(COUNT(D5:G5)=0,"",AVERAGE(D5:G5))</f>
        <v/>
      </c>
      <c r="I5" s="15">
        <f>IF(OR(C5="",H5=""),"",C5-H5)</f>
        <v/>
      </c>
      <c r="J5" s="14">
        <f>IF(I5="","",IF(I5&gt;=0.5,"⚠ переоценивает себя",IF(H5&lt;3,"низкий уровень","")))</f>
        <v/>
      </c>
    </row>
    <row r="6">
      <c r="A6" s="14" t="inlineStr">
        <is>
          <t>Смирнов А. П. (ПРИМЕР)</t>
        </is>
      </c>
      <c r="B6" s="9" t="inlineStr">
        <is>
          <t>Системное мышление</t>
        </is>
      </c>
      <c r="C6" s="15">
        <f>IF('Оценки'!K6="","",'Оценки'!K6)</f>
        <v/>
      </c>
      <c r="D6" s="15">
        <f>IF('Оценки'!C6="","",'Оценки'!C6)</f>
        <v/>
      </c>
      <c r="E6" s="15">
        <f>IF(COUNT('Оценки'!D6:F6)=0,"",AVERAGE('Оценки'!D6:F6))</f>
        <v/>
      </c>
      <c r="F6" s="15">
        <f>IF(COUNT('Оценки'!G6:I6)=0,"",AVERAGE('Оценки'!G6:I6))</f>
        <v/>
      </c>
      <c r="G6" s="15">
        <f>IF('Оценки'!J6="","",'Оценки'!J6)</f>
        <v/>
      </c>
      <c r="H6" s="15">
        <f>IF(COUNT(D6:G6)=0,"",AVERAGE(D6:G6))</f>
        <v/>
      </c>
      <c r="I6" s="15">
        <f>IF(OR(C6="",H6=""),"",C6-H6)</f>
        <v/>
      </c>
      <c r="J6" s="14">
        <f>IF(I6="","",IF(I6&gt;=0.5,"⚠ переоценивает себя",IF(H6&lt;3,"низкий уровень","")))</f>
        <v/>
      </c>
    </row>
    <row r="7">
      <c r="A7" s="14" t="inlineStr">
        <is>
          <t>Смирнов А. П. (ПРИМЕР)</t>
        </is>
      </c>
      <c r="B7" s="9" t="inlineStr">
        <is>
          <t>Ответственность за результат</t>
        </is>
      </c>
      <c r="C7" s="15">
        <f>IF('Оценки'!K7="","",'Оценки'!K7)</f>
        <v/>
      </c>
      <c r="D7" s="15">
        <f>IF('Оценки'!C7="","",'Оценки'!C7)</f>
        <v/>
      </c>
      <c r="E7" s="15">
        <f>IF(COUNT('Оценки'!D7:F7)=0,"",AVERAGE('Оценки'!D7:F7))</f>
        <v/>
      </c>
      <c r="F7" s="15">
        <f>IF(COUNT('Оценки'!G7:I7)=0,"",AVERAGE('Оценки'!G7:I7))</f>
        <v/>
      </c>
      <c r="G7" s="15">
        <f>IF('Оценки'!J7="","",'Оценки'!J7)</f>
        <v/>
      </c>
      <c r="H7" s="15">
        <f>IF(COUNT(D7:G7)=0,"",AVERAGE(D7:G7))</f>
        <v/>
      </c>
      <c r="I7" s="15">
        <f>IF(OR(C7="",H7=""),"",C7-H7)</f>
        <v/>
      </c>
      <c r="J7" s="14">
        <f>IF(I7="","",IF(I7&gt;=0.5,"⚠ переоценивает себя",IF(H7&lt;3,"низкий уровень","")))</f>
        <v/>
      </c>
    </row>
    <row r="8">
      <c r="A8" s="14" t="inlineStr">
        <is>
          <t>Смирнов А. П. (ПРИМЕР)</t>
        </is>
      </c>
      <c r="B8" s="9" t="inlineStr">
        <is>
          <t>Открытость новому и адаптивность</t>
        </is>
      </c>
      <c r="C8" s="15">
        <f>IF('Оценки'!K8="","",'Оценки'!K8)</f>
        <v/>
      </c>
      <c r="D8" s="15">
        <f>IF('Оценки'!C8="","",'Оценки'!C8)</f>
        <v/>
      </c>
      <c r="E8" s="15">
        <f>IF(COUNT('Оценки'!D8:F8)=0,"",AVERAGE('Оценки'!D8:F8))</f>
        <v/>
      </c>
      <c r="F8" s="15">
        <f>IF(COUNT('Оценки'!G8:I8)=0,"",AVERAGE('Оценки'!G8:I8))</f>
        <v/>
      </c>
      <c r="G8" s="15">
        <f>IF('Оценки'!J8="","",'Оценки'!J8)</f>
        <v/>
      </c>
      <c r="H8" s="15">
        <f>IF(COUNT(D8:G8)=0,"",AVERAGE(D8:G8))</f>
        <v/>
      </c>
      <c r="I8" s="15">
        <f>IF(OR(C8="",H8=""),"",C8-H8)</f>
        <v/>
      </c>
      <c r="J8" s="14">
        <f>IF(I8="","",IF(I8&gt;=0.5,"⚠ переоценивает себя",IF(H8&lt;3,"низкий уровень","")))</f>
        <v/>
      </c>
    </row>
    <row r="9">
      <c r="A9" s="14" t="inlineStr">
        <is>
          <t>Смирнов А. П. (ПРИМЕР)</t>
        </is>
      </c>
      <c r="B9" s="9" t="inlineStr">
        <is>
          <t>Мотивация других людей (желательно по МР)</t>
        </is>
      </c>
      <c r="C9" s="15">
        <f>IF('Оценки'!K9="","",'Оценки'!K9)</f>
        <v/>
      </c>
      <c r="D9" s="15">
        <f>IF('Оценки'!C9="","",'Оценки'!C9)</f>
        <v/>
      </c>
      <c r="E9" s="15">
        <f>IF(COUNT('Оценки'!D9:F9)=0,"",AVERAGE('Оценки'!D9:F9))</f>
        <v/>
      </c>
      <c r="F9" s="15">
        <f>IF(COUNT('Оценки'!G9:I9)=0,"",AVERAGE('Оценки'!G9:I9))</f>
        <v/>
      </c>
      <c r="G9" s="15">
        <f>IF('Оценки'!J9="","",'Оценки'!J9)</f>
        <v/>
      </c>
      <c r="H9" s="15">
        <f>IF(COUNT(D9:G9)=0,"",AVERAGE(D9:G9))</f>
        <v/>
      </c>
      <c r="I9" s="15">
        <f>IF(OR(C9="",H9=""),"",C9-H9)</f>
        <v/>
      </c>
      <c r="J9" s="14">
        <f>IF(I9="","",IF(I9&gt;=0.5,"⚠ переоценивает себя",IF(H9&lt;3,"низкий уровень","")))</f>
        <v/>
      </c>
    </row>
    <row r="10">
      <c r="A10" s="14" t="inlineStr">
        <is>
          <t>Смирнов А. П. (ПРИМЕР)</t>
        </is>
      </c>
      <c r="B10" s="9" t="inlineStr">
        <is>
          <t>Мотивация на работу в рамках федерального проекта, желание учиться и развиваться</t>
        </is>
      </c>
      <c r="C10" s="15">
        <f>IF('Оценки'!K10="","",'Оценки'!K10)</f>
        <v/>
      </c>
      <c r="D10" s="15">
        <f>IF('Оценки'!C10="","",'Оценки'!C10)</f>
        <v/>
      </c>
      <c r="E10" s="15">
        <f>IF(COUNT('Оценки'!D10:F10)=0,"",AVERAGE('Оценки'!D10:F10))</f>
        <v/>
      </c>
      <c r="F10" s="15">
        <f>IF(COUNT('Оценки'!G10:I10)=0,"",AVERAGE('Оценки'!G10:I10))</f>
        <v/>
      </c>
      <c r="G10" s="15">
        <f>IF('Оценки'!J10="","",'Оценки'!J10)</f>
        <v/>
      </c>
      <c r="H10" s="15">
        <f>IF(COUNT(D10:G10)=0,"",AVERAGE(D10:G10))</f>
        <v/>
      </c>
      <c r="I10" s="15">
        <f>IF(OR(C10="",H10=""),"",C10-H10)</f>
        <v/>
      </c>
      <c r="J10" s="14">
        <f>IF(I10="","",IF(I10&gt;=0.5,"⚠ переоценивает себя",IF(H10&lt;3,"низкий уровень","")))</f>
        <v/>
      </c>
    </row>
    <row r="11">
      <c r="A11" s="14" t="inlineStr">
        <is>
          <t>Смирнов А. П. (ПРИМЕР)</t>
        </is>
      </c>
      <c r="B11" s="9" t="inlineStr">
        <is>
          <t>Профессиональная экспертиза: инструменты «Бережливого производства» и проектное управление</t>
        </is>
      </c>
      <c r="C11" s="15">
        <f>IF('Оценки'!K11="","",'Оценки'!K11)</f>
        <v/>
      </c>
      <c r="D11" s="15">
        <f>IF('Оценки'!C11="","",'Оценки'!C11)</f>
        <v/>
      </c>
      <c r="E11" s="15">
        <f>IF(COUNT('Оценки'!D11:F11)=0,"",AVERAGE('Оценки'!D11:F11))</f>
        <v/>
      </c>
      <c r="F11" s="15">
        <f>IF(COUNT('Оценки'!G11:I11)=0,"",AVERAGE('Оценки'!G11:I11))</f>
        <v/>
      </c>
      <c r="G11" s="15">
        <f>IF('Оценки'!J11="","",'Оценки'!J11)</f>
        <v/>
      </c>
      <c r="H11" s="15">
        <f>IF(COUNT(D11:G11)=0,"",AVERAGE(D11:G11))</f>
        <v/>
      </c>
      <c r="I11" s="15">
        <f>IF(OR(C11="",H11=""),"",C11-H11)</f>
        <v/>
      </c>
      <c r="J11" s="14">
        <f>IF(I11="","",IF(I11&gt;=0.5,"⚠ переоценивает себя",IF(H11&lt;3,"низкий уровень","")))</f>
        <v/>
      </c>
    </row>
    <row r="12">
      <c r="A12" s="16" t="inlineStr">
        <is>
          <t>Смирнов А. П. (ПРИМЕР)</t>
        </is>
      </c>
      <c r="B12" s="17" t="inlineStr">
        <is>
          <t>ИТОГО (среднее по всем компетенциям)</t>
        </is>
      </c>
      <c r="C12" s="18">
        <f>IF(COUNT(C4:C11)=0,"",AVERAGE(C4:C11))</f>
        <v/>
      </c>
      <c r="D12" s="18">
        <f>IF(COUNT(D4:D11)=0,"",AVERAGE(D4:D11))</f>
        <v/>
      </c>
      <c r="E12" s="18">
        <f>IF(COUNT(E4:E11)=0,"",AVERAGE(E4:E11))</f>
        <v/>
      </c>
      <c r="F12" s="18">
        <f>IF(COUNT(F4:F11)=0,"",AVERAGE(F4:F11))</f>
        <v/>
      </c>
      <c r="G12" s="18">
        <f>IF(COUNT(G4:G11)=0,"",AVERAGE(G4:G11))</f>
        <v/>
      </c>
      <c r="H12" s="18">
        <f>IF(COUNT(H4:H11)=0,"",AVERAGE(H4:H11))</f>
        <v/>
      </c>
      <c r="I12" s="18">
        <f>IF(OR(C12="",H12=""),"",C12-H12)</f>
        <v/>
      </c>
      <c r="J12" s="16">
        <f>IF(I12="","",IF(I12&gt;=0.5,"⚠ переоценивает себя",IF(H12&lt;3,"низкий уровень","")))</f>
        <v/>
      </c>
    </row>
    <row r="13">
      <c r="A13" s="14" t="n"/>
      <c r="B13" s="9" t="n"/>
      <c r="C13" s="15" t="n"/>
      <c r="D13" s="15" t="n"/>
      <c r="E13" s="15" t="n"/>
      <c r="F13" s="15" t="n"/>
      <c r="G13" s="15" t="n"/>
      <c r="H13" s="15" t="n"/>
      <c r="I13" s="15" t="n"/>
      <c r="J13" s="14" t="n"/>
    </row>
    <row r="14">
      <c r="A14" s="14" t="inlineStr">
        <is>
          <t>РП-2</t>
        </is>
      </c>
      <c r="B14" s="9" t="inlineStr">
        <is>
          <t>Организация и контроль (критически важно по МР)</t>
        </is>
      </c>
      <c r="C14" s="15">
        <f>IF('Оценки'!K14="","",'Оценки'!K14)</f>
        <v/>
      </c>
      <c r="D14" s="15">
        <f>IF('Оценки'!C14="","",'Оценки'!C14)</f>
        <v/>
      </c>
      <c r="E14" s="15">
        <f>IF(COUNT('Оценки'!D14:F14)=0,"",AVERAGE('Оценки'!D14:F14))</f>
        <v/>
      </c>
      <c r="F14" s="15">
        <f>IF(COUNT('Оценки'!G14:I14)=0,"",AVERAGE('Оценки'!G14:I14))</f>
        <v/>
      </c>
      <c r="G14" s="15">
        <f>IF('Оценки'!J14="","",'Оценки'!J14)</f>
        <v/>
      </c>
      <c r="H14" s="15">
        <f>IF(COUNT(D14:G14)=0,"",AVERAGE(D14:G14))</f>
        <v/>
      </c>
      <c r="I14" s="15">
        <f>IF(OR(C14="",H14=""),"",C14-H14)</f>
        <v/>
      </c>
      <c r="J14" s="14">
        <f>IF(I14="","",IF(I14&gt;=0.5,"⚠ переоценивает себя",IF(H14&lt;3,"низкий уровень","")))</f>
        <v/>
      </c>
    </row>
    <row r="15">
      <c r="A15" s="14" t="inlineStr">
        <is>
          <t>РП-2</t>
        </is>
      </c>
      <c r="B15" s="9" t="inlineStr">
        <is>
          <t>Коммуникация и влияние</t>
        </is>
      </c>
      <c r="C15" s="15">
        <f>IF('Оценки'!K15="","",'Оценки'!K15)</f>
        <v/>
      </c>
      <c r="D15" s="15">
        <f>IF('Оценки'!C15="","",'Оценки'!C15)</f>
        <v/>
      </c>
      <c r="E15" s="15">
        <f>IF(COUNT('Оценки'!D15:F15)=0,"",AVERAGE('Оценки'!D15:F15))</f>
        <v/>
      </c>
      <c r="F15" s="15">
        <f>IF(COUNT('Оценки'!G15:I15)=0,"",AVERAGE('Оценки'!G15:I15))</f>
        <v/>
      </c>
      <c r="G15" s="15">
        <f>IF('Оценки'!J15="","",'Оценки'!J15)</f>
        <v/>
      </c>
      <c r="H15" s="15">
        <f>IF(COUNT(D15:G15)=0,"",AVERAGE(D15:G15))</f>
        <v/>
      </c>
      <c r="I15" s="15">
        <f>IF(OR(C15="",H15=""),"",C15-H15)</f>
        <v/>
      </c>
      <c r="J15" s="14">
        <f>IF(I15="","",IF(I15&gt;=0.5,"⚠ переоценивает себя",IF(H15&lt;3,"низкий уровень","")))</f>
        <v/>
      </c>
    </row>
    <row r="16">
      <c r="A16" s="14" t="inlineStr">
        <is>
          <t>РП-2</t>
        </is>
      </c>
      <c r="B16" s="9" t="inlineStr">
        <is>
          <t>Системное мышление</t>
        </is>
      </c>
      <c r="C16" s="15">
        <f>IF('Оценки'!K16="","",'Оценки'!K16)</f>
        <v/>
      </c>
      <c r="D16" s="15">
        <f>IF('Оценки'!C16="","",'Оценки'!C16)</f>
        <v/>
      </c>
      <c r="E16" s="15">
        <f>IF(COUNT('Оценки'!D16:F16)=0,"",AVERAGE('Оценки'!D16:F16))</f>
        <v/>
      </c>
      <c r="F16" s="15">
        <f>IF(COUNT('Оценки'!G16:I16)=0,"",AVERAGE('Оценки'!G16:I16))</f>
        <v/>
      </c>
      <c r="G16" s="15">
        <f>IF('Оценки'!J16="","",'Оценки'!J16)</f>
        <v/>
      </c>
      <c r="H16" s="15">
        <f>IF(COUNT(D16:G16)=0,"",AVERAGE(D16:G16))</f>
        <v/>
      </c>
      <c r="I16" s="15">
        <f>IF(OR(C16="",H16=""),"",C16-H16)</f>
        <v/>
      </c>
      <c r="J16" s="14">
        <f>IF(I16="","",IF(I16&gt;=0.5,"⚠ переоценивает себя",IF(H16&lt;3,"низкий уровень","")))</f>
        <v/>
      </c>
    </row>
    <row r="17">
      <c r="A17" s="14" t="inlineStr">
        <is>
          <t>РП-2</t>
        </is>
      </c>
      <c r="B17" s="9" t="inlineStr">
        <is>
          <t>Ответственность за результат</t>
        </is>
      </c>
      <c r="C17" s="15">
        <f>IF('Оценки'!K17="","",'Оценки'!K17)</f>
        <v/>
      </c>
      <c r="D17" s="15">
        <f>IF('Оценки'!C17="","",'Оценки'!C17)</f>
        <v/>
      </c>
      <c r="E17" s="15">
        <f>IF(COUNT('Оценки'!D17:F17)=0,"",AVERAGE('Оценки'!D17:F17))</f>
        <v/>
      </c>
      <c r="F17" s="15">
        <f>IF(COUNT('Оценки'!G17:I17)=0,"",AVERAGE('Оценки'!G17:I17))</f>
        <v/>
      </c>
      <c r="G17" s="15">
        <f>IF('Оценки'!J17="","",'Оценки'!J17)</f>
        <v/>
      </c>
      <c r="H17" s="15">
        <f>IF(COUNT(D17:G17)=0,"",AVERAGE(D17:G17))</f>
        <v/>
      </c>
      <c r="I17" s="15">
        <f>IF(OR(C17="",H17=""),"",C17-H17)</f>
        <v/>
      </c>
      <c r="J17" s="14">
        <f>IF(I17="","",IF(I17&gt;=0.5,"⚠ переоценивает себя",IF(H17&lt;3,"низкий уровень","")))</f>
        <v/>
      </c>
    </row>
    <row r="18">
      <c r="A18" s="14" t="inlineStr">
        <is>
          <t>РП-2</t>
        </is>
      </c>
      <c r="B18" s="9" t="inlineStr">
        <is>
          <t>Открытость новому и адаптивность</t>
        </is>
      </c>
      <c r="C18" s="15">
        <f>IF('Оценки'!K18="","",'Оценки'!K18)</f>
        <v/>
      </c>
      <c r="D18" s="15">
        <f>IF('Оценки'!C18="","",'Оценки'!C18)</f>
        <v/>
      </c>
      <c r="E18" s="15">
        <f>IF(COUNT('Оценки'!D18:F18)=0,"",AVERAGE('Оценки'!D18:F18))</f>
        <v/>
      </c>
      <c r="F18" s="15">
        <f>IF(COUNT('Оценки'!G18:I18)=0,"",AVERAGE('Оценки'!G18:I18))</f>
        <v/>
      </c>
      <c r="G18" s="15">
        <f>IF('Оценки'!J18="","",'Оценки'!J18)</f>
        <v/>
      </c>
      <c r="H18" s="15">
        <f>IF(COUNT(D18:G18)=0,"",AVERAGE(D18:G18))</f>
        <v/>
      </c>
      <c r="I18" s="15">
        <f>IF(OR(C18="",H18=""),"",C18-H18)</f>
        <v/>
      </c>
      <c r="J18" s="14">
        <f>IF(I18="","",IF(I18&gt;=0.5,"⚠ переоценивает себя",IF(H18&lt;3,"низкий уровень","")))</f>
        <v/>
      </c>
    </row>
    <row r="19">
      <c r="A19" s="14" t="inlineStr">
        <is>
          <t>РП-2</t>
        </is>
      </c>
      <c r="B19" s="9" t="inlineStr">
        <is>
          <t>Мотивация других людей (желательно по МР)</t>
        </is>
      </c>
      <c r="C19" s="15">
        <f>IF('Оценки'!K19="","",'Оценки'!K19)</f>
        <v/>
      </c>
      <c r="D19" s="15">
        <f>IF('Оценки'!C19="","",'Оценки'!C19)</f>
        <v/>
      </c>
      <c r="E19" s="15">
        <f>IF(COUNT('Оценки'!D19:F19)=0,"",AVERAGE('Оценки'!D19:F19))</f>
        <v/>
      </c>
      <c r="F19" s="15">
        <f>IF(COUNT('Оценки'!G19:I19)=0,"",AVERAGE('Оценки'!G19:I19))</f>
        <v/>
      </c>
      <c r="G19" s="15">
        <f>IF('Оценки'!J19="","",'Оценки'!J19)</f>
        <v/>
      </c>
      <c r="H19" s="15">
        <f>IF(COUNT(D19:G19)=0,"",AVERAGE(D19:G19))</f>
        <v/>
      </c>
      <c r="I19" s="15">
        <f>IF(OR(C19="",H19=""),"",C19-H19)</f>
        <v/>
      </c>
      <c r="J19" s="14">
        <f>IF(I19="","",IF(I19&gt;=0.5,"⚠ переоценивает себя",IF(H19&lt;3,"низкий уровень","")))</f>
        <v/>
      </c>
    </row>
    <row r="20">
      <c r="A20" s="14" t="inlineStr">
        <is>
          <t>РП-2</t>
        </is>
      </c>
      <c r="B20" s="9" t="inlineStr">
        <is>
          <t>Мотивация на работу в рамках федерального проекта, желание учиться и развиваться</t>
        </is>
      </c>
      <c r="C20" s="15">
        <f>IF('Оценки'!K20="","",'Оценки'!K20)</f>
        <v/>
      </c>
      <c r="D20" s="15">
        <f>IF('Оценки'!C20="","",'Оценки'!C20)</f>
        <v/>
      </c>
      <c r="E20" s="15">
        <f>IF(COUNT('Оценки'!D20:F20)=0,"",AVERAGE('Оценки'!D20:F20))</f>
        <v/>
      </c>
      <c r="F20" s="15">
        <f>IF(COUNT('Оценки'!G20:I20)=0,"",AVERAGE('Оценки'!G20:I20))</f>
        <v/>
      </c>
      <c r="G20" s="15">
        <f>IF('Оценки'!J20="","",'Оценки'!J20)</f>
        <v/>
      </c>
      <c r="H20" s="15">
        <f>IF(COUNT(D20:G20)=0,"",AVERAGE(D20:G20))</f>
        <v/>
      </c>
      <c r="I20" s="15">
        <f>IF(OR(C20="",H20=""),"",C20-H20)</f>
        <v/>
      </c>
      <c r="J20" s="14">
        <f>IF(I20="","",IF(I20&gt;=0.5,"⚠ переоценивает себя",IF(H20&lt;3,"низкий уровень","")))</f>
        <v/>
      </c>
    </row>
    <row r="21">
      <c r="A21" s="14" t="inlineStr">
        <is>
          <t>РП-2</t>
        </is>
      </c>
      <c r="B21" s="9" t="inlineStr">
        <is>
          <t>Профессиональная экспертиза: инструменты «Бережливого производства» и проектное управление</t>
        </is>
      </c>
      <c r="C21" s="15">
        <f>IF('Оценки'!K21="","",'Оценки'!K21)</f>
        <v/>
      </c>
      <c r="D21" s="15">
        <f>IF('Оценки'!C21="","",'Оценки'!C21)</f>
        <v/>
      </c>
      <c r="E21" s="15">
        <f>IF(COUNT('Оценки'!D21:F21)=0,"",AVERAGE('Оценки'!D21:F21))</f>
        <v/>
      </c>
      <c r="F21" s="15">
        <f>IF(COUNT('Оценки'!G21:I21)=0,"",AVERAGE('Оценки'!G21:I21))</f>
        <v/>
      </c>
      <c r="G21" s="15">
        <f>IF('Оценки'!J21="","",'Оценки'!J21)</f>
        <v/>
      </c>
      <c r="H21" s="15">
        <f>IF(COUNT(D21:G21)=0,"",AVERAGE(D21:G21))</f>
        <v/>
      </c>
      <c r="I21" s="15">
        <f>IF(OR(C21="",H21=""),"",C21-H21)</f>
        <v/>
      </c>
      <c r="J21" s="14">
        <f>IF(I21="","",IF(I21&gt;=0.5,"⚠ переоценивает себя",IF(H21&lt;3,"низкий уровень","")))</f>
        <v/>
      </c>
    </row>
    <row r="22">
      <c r="A22" s="16" t="inlineStr">
        <is>
          <t>РП-2</t>
        </is>
      </c>
      <c r="B22" s="17" t="inlineStr">
        <is>
          <t>ИТОГО (среднее по всем компетенциям)</t>
        </is>
      </c>
      <c r="C22" s="18">
        <f>IF(COUNT(C14:C21)=0,"",AVERAGE(C14:C21))</f>
        <v/>
      </c>
      <c r="D22" s="18">
        <f>IF(COUNT(D14:D21)=0,"",AVERAGE(D14:D21))</f>
        <v/>
      </c>
      <c r="E22" s="18">
        <f>IF(COUNT(E14:E21)=0,"",AVERAGE(E14:E21))</f>
        <v/>
      </c>
      <c r="F22" s="18">
        <f>IF(COUNT(F14:F21)=0,"",AVERAGE(F14:F21))</f>
        <v/>
      </c>
      <c r="G22" s="18">
        <f>IF(COUNT(G14:G21)=0,"",AVERAGE(G14:G21))</f>
        <v/>
      </c>
      <c r="H22" s="18">
        <f>IF(COUNT(H14:H21)=0,"",AVERAGE(H14:H21))</f>
        <v/>
      </c>
      <c r="I22" s="18">
        <f>IF(OR(C22="",H22=""),"",C22-H22)</f>
        <v/>
      </c>
      <c r="J22" s="16">
        <f>IF(I22="","",IF(I22&gt;=0.5,"⚠ переоценивает себя",IF(H22&lt;3,"низкий уровень","")))</f>
        <v/>
      </c>
    </row>
    <row r="23">
      <c r="A23" s="14" t="n"/>
      <c r="B23" s="9" t="n"/>
      <c r="C23" s="15" t="n"/>
      <c r="D23" s="15" t="n"/>
      <c r="E23" s="15" t="n"/>
      <c r="F23" s="15" t="n"/>
      <c r="G23" s="15" t="n"/>
      <c r="H23" s="15" t="n"/>
      <c r="I23" s="15" t="n"/>
      <c r="J23" s="14" t="n"/>
    </row>
    <row r="24">
      <c r="A24" s="14" t="inlineStr">
        <is>
          <t>РП-3</t>
        </is>
      </c>
      <c r="B24" s="9" t="inlineStr">
        <is>
          <t>Организация и контроль (критически важно по МР)</t>
        </is>
      </c>
      <c r="C24" s="15">
        <f>IF('Оценки'!K24="","",'Оценки'!K24)</f>
        <v/>
      </c>
      <c r="D24" s="15">
        <f>IF('Оценки'!C24="","",'Оценки'!C24)</f>
        <v/>
      </c>
      <c r="E24" s="15">
        <f>IF(COUNT('Оценки'!D24:F24)=0,"",AVERAGE('Оценки'!D24:F24))</f>
        <v/>
      </c>
      <c r="F24" s="15">
        <f>IF(COUNT('Оценки'!G24:I24)=0,"",AVERAGE('Оценки'!G24:I24))</f>
        <v/>
      </c>
      <c r="G24" s="15">
        <f>IF('Оценки'!J24="","",'Оценки'!J24)</f>
        <v/>
      </c>
      <c r="H24" s="15">
        <f>IF(COUNT(D24:G24)=0,"",AVERAGE(D24:G24))</f>
        <v/>
      </c>
      <c r="I24" s="15">
        <f>IF(OR(C24="",H24=""),"",C24-H24)</f>
        <v/>
      </c>
      <c r="J24" s="14">
        <f>IF(I24="","",IF(I24&gt;=0.5,"⚠ переоценивает себя",IF(H24&lt;3,"низкий уровень","")))</f>
        <v/>
      </c>
    </row>
    <row r="25">
      <c r="A25" s="14" t="inlineStr">
        <is>
          <t>РП-3</t>
        </is>
      </c>
      <c r="B25" s="9" t="inlineStr">
        <is>
          <t>Коммуникация и влияние</t>
        </is>
      </c>
      <c r="C25" s="15">
        <f>IF('Оценки'!K25="","",'Оценки'!K25)</f>
        <v/>
      </c>
      <c r="D25" s="15">
        <f>IF('Оценки'!C25="","",'Оценки'!C25)</f>
        <v/>
      </c>
      <c r="E25" s="15">
        <f>IF(COUNT('Оценки'!D25:F25)=0,"",AVERAGE('Оценки'!D25:F25))</f>
        <v/>
      </c>
      <c r="F25" s="15">
        <f>IF(COUNT('Оценки'!G25:I25)=0,"",AVERAGE('Оценки'!G25:I25))</f>
        <v/>
      </c>
      <c r="G25" s="15">
        <f>IF('Оценки'!J25="","",'Оценки'!J25)</f>
        <v/>
      </c>
      <c r="H25" s="15">
        <f>IF(COUNT(D25:G25)=0,"",AVERAGE(D25:G25))</f>
        <v/>
      </c>
      <c r="I25" s="15">
        <f>IF(OR(C25="",H25=""),"",C25-H25)</f>
        <v/>
      </c>
      <c r="J25" s="14">
        <f>IF(I25="","",IF(I25&gt;=0.5,"⚠ переоценивает себя",IF(H25&lt;3,"низкий уровень","")))</f>
        <v/>
      </c>
    </row>
    <row r="26">
      <c r="A26" s="14" t="inlineStr">
        <is>
          <t>РП-3</t>
        </is>
      </c>
      <c r="B26" s="9" t="inlineStr">
        <is>
          <t>Системное мышление</t>
        </is>
      </c>
      <c r="C26" s="15">
        <f>IF('Оценки'!K26="","",'Оценки'!K26)</f>
        <v/>
      </c>
      <c r="D26" s="15">
        <f>IF('Оценки'!C26="","",'Оценки'!C26)</f>
        <v/>
      </c>
      <c r="E26" s="15">
        <f>IF(COUNT('Оценки'!D26:F26)=0,"",AVERAGE('Оценки'!D26:F26))</f>
        <v/>
      </c>
      <c r="F26" s="15">
        <f>IF(COUNT('Оценки'!G26:I26)=0,"",AVERAGE('Оценки'!G26:I26))</f>
        <v/>
      </c>
      <c r="G26" s="15">
        <f>IF('Оценки'!J26="","",'Оценки'!J26)</f>
        <v/>
      </c>
      <c r="H26" s="15">
        <f>IF(COUNT(D26:G26)=0,"",AVERAGE(D26:G26))</f>
        <v/>
      </c>
      <c r="I26" s="15">
        <f>IF(OR(C26="",H26=""),"",C26-H26)</f>
        <v/>
      </c>
      <c r="J26" s="14">
        <f>IF(I26="","",IF(I26&gt;=0.5,"⚠ переоценивает себя",IF(H26&lt;3,"низкий уровень","")))</f>
        <v/>
      </c>
    </row>
    <row r="27">
      <c r="A27" s="14" t="inlineStr">
        <is>
          <t>РП-3</t>
        </is>
      </c>
      <c r="B27" s="9" t="inlineStr">
        <is>
          <t>Ответственность за результат</t>
        </is>
      </c>
      <c r="C27" s="15">
        <f>IF('Оценки'!K27="","",'Оценки'!K27)</f>
        <v/>
      </c>
      <c r="D27" s="15">
        <f>IF('Оценки'!C27="","",'Оценки'!C27)</f>
        <v/>
      </c>
      <c r="E27" s="15">
        <f>IF(COUNT('Оценки'!D27:F27)=0,"",AVERAGE('Оценки'!D27:F27))</f>
        <v/>
      </c>
      <c r="F27" s="15">
        <f>IF(COUNT('Оценки'!G27:I27)=0,"",AVERAGE('Оценки'!G27:I27))</f>
        <v/>
      </c>
      <c r="G27" s="15">
        <f>IF('Оценки'!J27="","",'Оценки'!J27)</f>
        <v/>
      </c>
      <c r="H27" s="15">
        <f>IF(COUNT(D27:G27)=0,"",AVERAGE(D27:G27))</f>
        <v/>
      </c>
      <c r="I27" s="15">
        <f>IF(OR(C27="",H27=""),"",C27-H27)</f>
        <v/>
      </c>
      <c r="J27" s="14">
        <f>IF(I27="","",IF(I27&gt;=0.5,"⚠ переоценивает себя",IF(H27&lt;3,"низкий уровень","")))</f>
        <v/>
      </c>
    </row>
    <row r="28">
      <c r="A28" s="14" t="inlineStr">
        <is>
          <t>РП-3</t>
        </is>
      </c>
      <c r="B28" s="9" t="inlineStr">
        <is>
          <t>Открытость новому и адаптивность</t>
        </is>
      </c>
      <c r="C28" s="15">
        <f>IF('Оценки'!K28="","",'Оценки'!K28)</f>
        <v/>
      </c>
      <c r="D28" s="15">
        <f>IF('Оценки'!C28="","",'Оценки'!C28)</f>
        <v/>
      </c>
      <c r="E28" s="15">
        <f>IF(COUNT('Оценки'!D28:F28)=0,"",AVERAGE('Оценки'!D28:F28))</f>
        <v/>
      </c>
      <c r="F28" s="15">
        <f>IF(COUNT('Оценки'!G28:I28)=0,"",AVERAGE('Оценки'!G28:I28))</f>
        <v/>
      </c>
      <c r="G28" s="15">
        <f>IF('Оценки'!J28="","",'Оценки'!J28)</f>
        <v/>
      </c>
      <c r="H28" s="15">
        <f>IF(COUNT(D28:G28)=0,"",AVERAGE(D28:G28))</f>
        <v/>
      </c>
      <c r="I28" s="15">
        <f>IF(OR(C28="",H28=""),"",C28-H28)</f>
        <v/>
      </c>
      <c r="J28" s="14">
        <f>IF(I28="","",IF(I28&gt;=0.5,"⚠ переоценивает себя",IF(H28&lt;3,"низкий уровень","")))</f>
        <v/>
      </c>
    </row>
    <row r="29">
      <c r="A29" s="14" t="inlineStr">
        <is>
          <t>РП-3</t>
        </is>
      </c>
      <c r="B29" s="9" t="inlineStr">
        <is>
          <t>Мотивация других людей (желательно по МР)</t>
        </is>
      </c>
      <c r="C29" s="15">
        <f>IF('Оценки'!K29="","",'Оценки'!K29)</f>
        <v/>
      </c>
      <c r="D29" s="15">
        <f>IF('Оценки'!C29="","",'Оценки'!C29)</f>
        <v/>
      </c>
      <c r="E29" s="15">
        <f>IF(COUNT('Оценки'!D29:F29)=0,"",AVERAGE('Оценки'!D29:F29))</f>
        <v/>
      </c>
      <c r="F29" s="15">
        <f>IF(COUNT('Оценки'!G29:I29)=0,"",AVERAGE('Оценки'!G29:I29))</f>
        <v/>
      </c>
      <c r="G29" s="15">
        <f>IF('Оценки'!J29="","",'Оценки'!J29)</f>
        <v/>
      </c>
      <c r="H29" s="15">
        <f>IF(COUNT(D29:G29)=0,"",AVERAGE(D29:G29))</f>
        <v/>
      </c>
      <c r="I29" s="15">
        <f>IF(OR(C29="",H29=""),"",C29-H29)</f>
        <v/>
      </c>
      <c r="J29" s="14">
        <f>IF(I29="","",IF(I29&gt;=0.5,"⚠ переоценивает себя",IF(H29&lt;3,"низкий уровень","")))</f>
        <v/>
      </c>
    </row>
    <row r="30">
      <c r="A30" s="14" t="inlineStr">
        <is>
          <t>РП-3</t>
        </is>
      </c>
      <c r="B30" s="9" t="inlineStr">
        <is>
          <t>Мотивация на работу в рамках федерального проекта, желание учиться и развиваться</t>
        </is>
      </c>
      <c r="C30" s="15">
        <f>IF('Оценки'!K30="","",'Оценки'!K30)</f>
        <v/>
      </c>
      <c r="D30" s="15">
        <f>IF('Оценки'!C30="","",'Оценки'!C30)</f>
        <v/>
      </c>
      <c r="E30" s="15">
        <f>IF(COUNT('Оценки'!D30:F30)=0,"",AVERAGE('Оценки'!D30:F30))</f>
        <v/>
      </c>
      <c r="F30" s="15">
        <f>IF(COUNT('Оценки'!G30:I30)=0,"",AVERAGE('Оценки'!G30:I30))</f>
        <v/>
      </c>
      <c r="G30" s="15">
        <f>IF('Оценки'!J30="","",'Оценки'!J30)</f>
        <v/>
      </c>
      <c r="H30" s="15">
        <f>IF(COUNT(D30:G30)=0,"",AVERAGE(D30:G30))</f>
        <v/>
      </c>
      <c r="I30" s="15">
        <f>IF(OR(C30="",H30=""),"",C30-H30)</f>
        <v/>
      </c>
      <c r="J30" s="14">
        <f>IF(I30="","",IF(I30&gt;=0.5,"⚠ переоценивает себя",IF(H30&lt;3,"низкий уровень","")))</f>
        <v/>
      </c>
    </row>
    <row r="31">
      <c r="A31" s="14" t="inlineStr">
        <is>
          <t>РП-3</t>
        </is>
      </c>
      <c r="B31" s="9" t="inlineStr">
        <is>
          <t>Профессиональная экспертиза: инструменты «Бережливого производства» и проектное управление</t>
        </is>
      </c>
      <c r="C31" s="15">
        <f>IF('Оценки'!K31="","",'Оценки'!K31)</f>
        <v/>
      </c>
      <c r="D31" s="15">
        <f>IF('Оценки'!C31="","",'Оценки'!C31)</f>
        <v/>
      </c>
      <c r="E31" s="15">
        <f>IF(COUNT('Оценки'!D31:F31)=0,"",AVERAGE('Оценки'!D31:F31))</f>
        <v/>
      </c>
      <c r="F31" s="15">
        <f>IF(COUNT('Оценки'!G31:I31)=0,"",AVERAGE('Оценки'!G31:I31))</f>
        <v/>
      </c>
      <c r="G31" s="15">
        <f>IF('Оценки'!J31="","",'Оценки'!J31)</f>
        <v/>
      </c>
      <c r="H31" s="15">
        <f>IF(COUNT(D31:G31)=0,"",AVERAGE(D31:G31))</f>
        <v/>
      </c>
      <c r="I31" s="15">
        <f>IF(OR(C31="",H31=""),"",C31-H31)</f>
        <v/>
      </c>
      <c r="J31" s="14">
        <f>IF(I31="","",IF(I31&gt;=0.5,"⚠ переоценивает себя",IF(H31&lt;3,"низкий уровень","")))</f>
        <v/>
      </c>
    </row>
    <row r="32">
      <c r="A32" s="16" t="inlineStr">
        <is>
          <t>РП-3</t>
        </is>
      </c>
      <c r="B32" s="17" t="inlineStr">
        <is>
          <t>ИТОГО (среднее по всем компетенциям)</t>
        </is>
      </c>
      <c r="C32" s="18">
        <f>IF(COUNT(C24:C31)=0,"",AVERAGE(C24:C31))</f>
        <v/>
      </c>
      <c r="D32" s="18">
        <f>IF(COUNT(D24:D31)=0,"",AVERAGE(D24:D31))</f>
        <v/>
      </c>
      <c r="E32" s="18">
        <f>IF(COUNT(E24:E31)=0,"",AVERAGE(E24:E31))</f>
        <v/>
      </c>
      <c r="F32" s="18">
        <f>IF(COUNT(F24:F31)=0,"",AVERAGE(F24:F31))</f>
        <v/>
      </c>
      <c r="G32" s="18">
        <f>IF(COUNT(G24:G31)=0,"",AVERAGE(G24:G31))</f>
        <v/>
      </c>
      <c r="H32" s="18">
        <f>IF(COUNT(H24:H31)=0,"",AVERAGE(H24:H31))</f>
        <v/>
      </c>
      <c r="I32" s="18">
        <f>IF(OR(C32="",H32=""),"",C32-H32)</f>
        <v/>
      </c>
      <c r="J32" s="16">
        <f>IF(I32="","",IF(I32&gt;=0.5,"⚠ переоценивает себя",IF(H32&lt;3,"низкий уровень","")))</f>
        <v/>
      </c>
    </row>
    <row r="33">
      <c r="A33" s="14" t="n"/>
      <c r="B33" s="9" t="n"/>
      <c r="C33" s="15" t="n"/>
      <c r="D33" s="15" t="n"/>
      <c r="E33" s="15" t="n"/>
      <c r="F33" s="15" t="n"/>
      <c r="G33" s="15" t="n"/>
      <c r="H33" s="15" t="n"/>
      <c r="I33" s="15" t="n"/>
      <c r="J33" s="14" t="n"/>
    </row>
    <row r="34">
      <c r="A34" s="14" t="inlineStr">
        <is>
          <t>РП-4</t>
        </is>
      </c>
      <c r="B34" s="9" t="inlineStr">
        <is>
          <t>Организация и контроль (критически важно по МР)</t>
        </is>
      </c>
      <c r="C34" s="15">
        <f>IF('Оценки'!K34="","",'Оценки'!K34)</f>
        <v/>
      </c>
      <c r="D34" s="15">
        <f>IF('Оценки'!C34="","",'Оценки'!C34)</f>
        <v/>
      </c>
      <c r="E34" s="15">
        <f>IF(COUNT('Оценки'!D34:F34)=0,"",AVERAGE('Оценки'!D34:F34))</f>
        <v/>
      </c>
      <c r="F34" s="15">
        <f>IF(COUNT('Оценки'!G34:I34)=0,"",AVERAGE('Оценки'!G34:I34))</f>
        <v/>
      </c>
      <c r="G34" s="15">
        <f>IF('Оценки'!J34="","",'Оценки'!J34)</f>
        <v/>
      </c>
      <c r="H34" s="15">
        <f>IF(COUNT(D34:G34)=0,"",AVERAGE(D34:G34))</f>
        <v/>
      </c>
      <c r="I34" s="15">
        <f>IF(OR(C34="",H34=""),"",C34-H34)</f>
        <v/>
      </c>
      <c r="J34" s="14">
        <f>IF(I34="","",IF(I34&gt;=0.5,"⚠ переоценивает себя",IF(H34&lt;3,"низкий уровень","")))</f>
        <v/>
      </c>
    </row>
    <row r="35">
      <c r="A35" s="14" t="inlineStr">
        <is>
          <t>РП-4</t>
        </is>
      </c>
      <c r="B35" s="9" t="inlineStr">
        <is>
          <t>Коммуникация и влияние</t>
        </is>
      </c>
      <c r="C35" s="15">
        <f>IF('Оценки'!K35="","",'Оценки'!K35)</f>
        <v/>
      </c>
      <c r="D35" s="15">
        <f>IF('Оценки'!C35="","",'Оценки'!C35)</f>
        <v/>
      </c>
      <c r="E35" s="15">
        <f>IF(COUNT('Оценки'!D35:F35)=0,"",AVERAGE('Оценки'!D35:F35))</f>
        <v/>
      </c>
      <c r="F35" s="15">
        <f>IF(COUNT('Оценки'!G35:I35)=0,"",AVERAGE('Оценки'!G35:I35))</f>
        <v/>
      </c>
      <c r="G35" s="15">
        <f>IF('Оценки'!J35="","",'Оценки'!J35)</f>
        <v/>
      </c>
      <c r="H35" s="15">
        <f>IF(COUNT(D35:G35)=0,"",AVERAGE(D35:G35))</f>
        <v/>
      </c>
      <c r="I35" s="15">
        <f>IF(OR(C35="",H35=""),"",C35-H35)</f>
        <v/>
      </c>
      <c r="J35" s="14">
        <f>IF(I35="","",IF(I35&gt;=0.5,"⚠ переоценивает себя",IF(H35&lt;3,"низкий уровень","")))</f>
        <v/>
      </c>
    </row>
    <row r="36">
      <c r="A36" s="14" t="inlineStr">
        <is>
          <t>РП-4</t>
        </is>
      </c>
      <c r="B36" s="9" t="inlineStr">
        <is>
          <t>Системное мышление</t>
        </is>
      </c>
      <c r="C36" s="15">
        <f>IF('Оценки'!K36="","",'Оценки'!K36)</f>
        <v/>
      </c>
      <c r="D36" s="15">
        <f>IF('Оценки'!C36="","",'Оценки'!C36)</f>
        <v/>
      </c>
      <c r="E36" s="15">
        <f>IF(COUNT('Оценки'!D36:F36)=0,"",AVERAGE('Оценки'!D36:F36))</f>
        <v/>
      </c>
      <c r="F36" s="15">
        <f>IF(COUNT('Оценки'!G36:I36)=0,"",AVERAGE('Оценки'!G36:I36))</f>
        <v/>
      </c>
      <c r="G36" s="15">
        <f>IF('Оценки'!J36="","",'Оценки'!J36)</f>
        <v/>
      </c>
      <c r="H36" s="15">
        <f>IF(COUNT(D36:G36)=0,"",AVERAGE(D36:G36))</f>
        <v/>
      </c>
      <c r="I36" s="15">
        <f>IF(OR(C36="",H36=""),"",C36-H36)</f>
        <v/>
      </c>
      <c r="J36" s="14">
        <f>IF(I36="","",IF(I36&gt;=0.5,"⚠ переоценивает себя",IF(H36&lt;3,"низкий уровень","")))</f>
        <v/>
      </c>
    </row>
    <row r="37">
      <c r="A37" s="14" t="inlineStr">
        <is>
          <t>РП-4</t>
        </is>
      </c>
      <c r="B37" s="9" t="inlineStr">
        <is>
          <t>Ответственность за результат</t>
        </is>
      </c>
      <c r="C37" s="15">
        <f>IF('Оценки'!K37="","",'Оценки'!K37)</f>
        <v/>
      </c>
      <c r="D37" s="15">
        <f>IF('Оценки'!C37="","",'Оценки'!C37)</f>
        <v/>
      </c>
      <c r="E37" s="15">
        <f>IF(COUNT('Оценки'!D37:F37)=0,"",AVERAGE('Оценки'!D37:F37))</f>
        <v/>
      </c>
      <c r="F37" s="15">
        <f>IF(COUNT('Оценки'!G37:I37)=0,"",AVERAGE('Оценки'!G37:I37))</f>
        <v/>
      </c>
      <c r="G37" s="15">
        <f>IF('Оценки'!J37="","",'Оценки'!J37)</f>
        <v/>
      </c>
      <c r="H37" s="15">
        <f>IF(COUNT(D37:G37)=0,"",AVERAGE(D37:G37))</f>
        <v/>
      </c>
      <c r="I37" s="15">
        <f>IF(OR(C37="",H37=""),"",C37-H37)</f>
        <v/>
      </c>
      <c r="J37" s="14">
        <f>IF(I37="","",IF(I37&gt;=0.5,"⚠ переоценивает себя",IF(H37&lt;3,"низкий уровень","")))</f>
        <v/>
      </c>
    </row>
    <row r="38">
      <c r="A38" s="14" t="inlineStr">
        <is>
          <t>РП-4</t>
        </is>
      </c>
      <c r="B38" s="9" t="inlineStr">
        <is>
          <t>Открытость новому и адаптивность</t>
        </is>
      </c>
      <c r="C38" s="15">
        <f>IF('Оценки'!K38="","",'Оценки'!K38)</f>
        <v/>
      </c>
      <c r="D38" s="15">
        <f>IF('Оценки'!C38="","",'Оценки'!C38)</f>
        <v/>
      </c>
      <c r="E38" s="15">
        <f>IF(COUNT('Оценки'!D38:F38)=0,"",AVERAGE('Оценки'!D38:F38))</f>
        <v/>
      </c>
      <c r="F38" s="15">
        <f>IF(COUNT('Оценки'!G38:I38)=0,"",AVERAGE('Оценки'!G38:I38))</f>
        <v/>
      </c>
      <c r="G38" s="15">
        <f>IF('Оценки'!J38="","",'Оценки'!J38)</f>
        <v/>
      </c>
      <c r="H38" s="15">
        <f>IF(COUNT(D38:G38)=0,"",AVERAGE(D38:G38))</f>
        <v/>
      </c>
      <c r="I38" s="15">
        <f>IF(OR(C38="",H38=""),"",C38-H38)</f>
        <v/>
      </c>
      <c r="J38" s="14">
        <f>IF(I38="","",IF(I38&gt;=0.5,"⚠ переоценивает себя",IF(H38&lt;3,"низкий уровень","")))</f>
        <v/>
      </c>
    </row>
    <row r="39">
      <c r="A39" s="14" t="inlineStr">
        <is>
          <t>РП-4</t>
        </is>
      </c>
      <c r="B39" s="9" t="inlineStr">
        <is>
          <t>Мотивация других людей (желательно по МР)</t>
        </is>
      </c>
      <c r="C39" s="15">
        <f>IF('Оценки'!K39="","",'Оценки'!K39)</f>
        <v/>
      </c>
      <c r="D39" s="15">
        <f>IF('Оценки'!C39="","",'Оценки'!C39)</f>
        <v/>
      </c>
      <c r="E39" s="15">
        <f>IF(COUNT('Оценки'!D39:F39)=0,"",AVERAGE('Оценки'!D39:F39))</f>
        <v/>
      </c>
      <c r="F39" s="15">
        <f>IF(COUNT('Оценки'!G39:I39)=0,"",AVERAGE('Оценки'!G39:I39))</f>
        <v/>
      </c>
      <c r="G39" s="15">
        <f>IF('Оценки'!J39="","",'Оценки'!J39)</f>
        <v/>
      </c>
      <c r="H39" s="15">
        <f>IF(COUNT(D39:G39)=0,"",AVERAGE(D39:G39))</f>
        <v/>
      </c>
      <c r="I39" s="15">
        <f>IF(OR(C39="",H39=""),"",C39-H39)</f>
        <v/>
      </c>
      <c r="J39" s="14">
        <f>IF(I39="","",IF(I39&gt;=0.5,"⚠ переоценивает себя",IF(H39&lt;3,"низкий уровень","")))</f>
        <v/>
      </c>
    </row>
    <row r="40">
      <c r="A40" s="14" t="inlineStr">
        <is>
          <t>РП-4</t>
        </is>
      </c>
      <c r="B40" s="9" t="inlineStr">
        <is>
          <t>Мотивация на работу в рамках федерального проекта, желание учиться и развиваться</t>
        </is>
      </c>
      <c r="C40" s="15">
        <f>IF('Оценки'!K40="","",'Оценки'!K40)</f>
        <v/>
      </c>
      <c r="D40" s="15">
        <f>IF('Оценки'!C40="","",'Оценки'!C40)</f>
        <v/>
      </c>
      <c r="E40" s="15">
        <f>IF(COUNT('Оценки'!D40:F40)=0,"",AVERAGE('Оценки'!D40:F40))</f>
        <v/>
      </c>
      <c r="F40" s="15">
        <f>IF(COUNT('Оценки'!G40:I40)=0,"",AVERAGE('Оценки'!G40:I40))</f>
        <v/>
      </c>
      <c r="G40" s="15">
        <f>IF('Оценки'!J40="","",'Оценки'!J40)</f>
        <v/>
      </c>
      <c r="H40" s="15">
        <f>IF(COUNT(D40:G40)=0,"",AVERAGE(D40:G40))</f>
        <v/>
      </c>
      <c r="I40" s="15">
        <f>IF(OR(C40="",H40=""),"",C40-H40)</f>
        <v/>
      </c>
      <c r="J40" s="14">
        <f>IF(I40="","",IF(I40&gt;=0.5,"⚠ переоценивает себя",IF(H40&lt;3,"низкий уровень","")))</f>
        <v/>
      </c>
    </row>
    <row r="41">
      <c r="A41" s="14" t="inlineStr">
        <is>
          <t>РП-4</t>
        </is>
      </c>
      <c r="B41" s="9" t="inlineStr">
        <is>
          <t>Профессиональная экспертиза: инструменты «Бережливого производства» и проектное управление</t>
        </is>
      </c>
      <c r="C41" s="15">
        <f>IF('Оценки'!K41="","",'Оценки'!K41)</f>
        <v/>
      </c>
      <c r="D41" s="15">
        <f>IF('Оценки'!C41="","",'Оценки'!C41)</f>
        <v/>
      </c>
      <c r="E41" s="15">
        <f>IF(COUNT('Оценки'!D41:F41)=0,"",AVERAGE('Оценки'!D41:F41))</f>
        <v/>
      </c>
      <c r="F41" s="15">
        <f>IF(COUNT('Оценки'!G41:I41)=0,"",AVERAGE('Оценки'!G41:I41))</f>
        <v/>
      </c>
      <c r="G41" s="15">
        <f>IF('Оценки'!J41="","",'Оценки'!J41)</f>
        <v/>
      </c>
      <c r="H41" s="15">
        <f>IF(COUNT(D41:G41)=0,"",AVERAGE(D41:G41))</f>
        <v/>
      </c>
      <c r="I41" s="15">
        <f>IF(OR(C41="",H41=""),"",C41-H41)</f>
        <v/>
      </c>
      <c r="J41" s="14">
        <f>IF(I41="","",IF(I41&gt;=0.5,"⚠ переоценивает себя",IF(H41&lt;3,"низкий уровень","")))</f>
        <v/>
      </c>
    </row>
    <row r="42">
      <c r="A42" s="16" t="inlineStr">
        <is>
          <t>РП-4</t>
        </is>
      </c>
      <c r="B42" s="17" t="inlineStr">
        <is>
          <t>ИТОГО (среднее по всем компетенциям)</t>
        </is>
      </c>
      <c r="C42" s="18">
        <f>IF(COUNT(C34:C41)=0,"",AVERAGE(C34:C41))</f>
        <v/>
      </c>
      <c r="D42" s="18">
        <f>IF(COUNT(D34:D41)=0,"",AVERAGE(D34:D41))</f>
        <v/>
      </c>
      <c r="E42" s="18">
        <f>IF(COUNT(E34:E41)=0,"",AVERAGE(E34:E41))</f>
        <v/>
      </c>
      <c r="F42" s="18">
        <f>IF(COUNT(F34:F41)=0,"",AVERAGE(F34:F41))</f>
        <v/>
      </c>
      <c r="G42" s="18">
        <f>IF(COUNT(G34:G41)=0,"",AVERAGE(G34:G41))</f>
        <v/>
      </c>
      <c r="H42" s="18">
        <f>IF(COUNT(H34:H41)=0,"",AVERAGE(H34:H41))</f>
        <v/>
      </c>
      <c r="I42" s="18">
        <f>IF(OR(C42="",H42=""),"",C42-H42)</f>
        <v/>
      </c>
      <c r="J42" s="16">
        <f>IF(I42="","",IF(I42&gt;=0.5,"⚠ переоценивает себя",IF(H42&lt;3,"низкий уровень","")))</f>
        <v/>
      </c>
    </row>
    <row r="43">
      <c r="A43" s="14" t="n"/>
      <c r="B43" s="9" t="n"/>
      <c r="C43" s="15" t="n"/>
      <c r="D43" s="15" t="n"/>
      <c r="E43" s="15" t="n"/>
      <c r="F43" s="15" t="n"/>
      <c r="G43" s="15" t="n"/>
      <c r="H43" s="15" t="n"/>
      <c r="I43" s="15" t="n"/>
      <c r="J43" s="14" t="n"/>
    </row>
    <row r="44">
      <c r="A44" s="14" t="inlineStr">
        <is>
          <t>РП-5</t>
        </is>
      </c>
      <c r="B44" s="9" t="inlineStr">
        <is>
          <t>Организация и контроль (критически важно по МР)</t>
        </is>
      </c>
      <c r="C44" s="15">
        <f>IF('Оценки'!K44="","",'Оценки'!K44)</f>
        <v/>
      </c>
      <c r="D44" s="15">
        <f>IF('Оценки'!C44="","",'Оценки'!C44)</f>
        <v/>
      </c>
      <c r="E44" s="15">
        <f>IF(COUNT('Оценки'!D44:F44)=0,"",AVERAGE('Оценки'!D44:F44))</f>
        <v/>
      </c>
      <c r="F44" s="15">
        <f>IF(COUNT('Оценки'!G44:I44)=0,"",AVERAGE('Оценки'!G44:I44))</f>
        <v/>
      </c>
      <c r="G44" s="15">
        <f>IF('Оценки'!J44="","",'Оценки'!J44)</f>
        <v/>
      </c>
      <c r="H44" s="15">
        <f>IF(COUNT(D44:G44)=0,"",AVERAGE(D44:G44))</f>
        <v/>
      </c>
      <c r="I44" s="15">
        <f>IF(OR(C44="",H44=""),"",C44-H44)</f>
        <v/>
      </c>
      <c r="J44" s="14">
        <f>IF(I44="","",IF(I44&gt;=0.5,"⚠ переоценивает себя",IF(H44&lt;3,"низкий уровень","")))</f>
        <v/>
      </c>
    </row>
    <row r="45">
      <c r="A45" s="14" t="inlineStr">
        <is>
          <t>РП-5</t>
        </is>
      </c>
      <c r="B45" s="9" t="inlineStr">
        <is>
          <t>Коммуникация и влияние</t>
        </is>
      </c>
      <c r="C45" s="15">
        <f>IF('Оценки'!K45="","",'Оценки'!K45)</f>
        <v/>
      </c>
      <c r="D45" s="15">
        <f>IF('Оценки'!C45="","",'Оценки'!C45)</f>
        <v/>
      </c>
      <c r="E45" s="15">
        <f>IF(COUNT('Оценки'!D45:F45)=0,"",AVERAGE('Оценки'!D45:F45))</f>
        <v/>
      </c>
      <c r="F45" s="15">
        <f>IF(COUNT('Оценки'!G45:I45)=0,"",AVERAGE('Оценки'!G45:I45))</f>
        <v/>
      </c>
      <c r="G45" s="15">
        <f>IF('Оценки'!J45="","",'Оценки'!J45)</f>
        <v/>
      </c>
      <c r="H45" s="15">
        <f>IF(COUNT(D45:G45)=0,"",AVERAGE(D45:G45))</f>
        <v/>
      </c>
      <c r="I45" s="15">
        <f>IF(OR(C45="",H45=""),"",C45-H45)</f>
        <v/>
      </c>
      <c r="J45" s="14">
        <f>IF(I45="","",IF(I45&gt;=0.5,"⚠ переоценивает себя",IF(H45&lt;3,"низкий уровень","")))</f>
        <v/>
      </c>
    </row>
    <row r="46">
      <c r="A46" s="14" t="inlineStr">
        <is>
          <t>РП-5</t>
        </is>
      </c>
      <c r="B46" s="9" t="inlineStr">
        <is>
          <t>Системное мышление</t>
        </is>
      </c>
      <c r="C46" s="15">
        <f>IF('Оценки'!K46="","",'Оценки'!K46)</f>
        <v/>
      </c>
      <c r="D46" s="15">
        <f>IF('Оценки'!C46="","",'Оценки'!C46)</f>
        <v/>
      </c>
      <c r="E46" s="15">
        <f>IF(COUNT('Оценки'!D46:F46)=0,"",AVERAGE('Оценки'!D46:F46))</f>
        <v/>
      </c>
      <c r="F46" s="15">
        <f>IF(COUNT('Оценки'!G46:I46)=0,"",AVERAGE('Оценки'!G46:I46))</f>
        <v/>
      </c>
      <c r="G46" s="15">
        <f>IF('Оценки'!J46="","",'Оценки'!J46)</f>
        <v/>
      </c>
      <c r="H46" s="15">
        <f>IF(COUNT(D46:G46)=0,"",AVERAGE(D46:G46))</f>
        <v/>
      </c>
      <c r="I46" s="15">
        <f>IF(OR(C46="",H46=""),"",C46-H46)</f>
        <v/>
      </c>
      <c r="J46" s="14">
        <f>IF(I46="","",IF(I46&gt;=0.5,"⚠ переоценивает себя",IF(H46&lt;3,"низкий уровень","")))</f>
        <v/>
      </c>
    </row>
    <row r="47">
      <c r="A47" s="14" t="inlineStr">
        <is>
          <t>РП-5</t>
        </is>
      </c>
      <c r="B47" s="9" t="inlineStr">
        <is>
          <t>Ответственность за результат</t>
        </is>
      </c>
      <c r="C47" s="15">
        <f>IF('Оценки'!K47="","",'Оценки'!K47)</f>
        <v/>
      </c>
      <c r="D47" s="15">
        <f>IF('Оценки'!C47="","",'Оценки'!C47)</f>
        <v/>
      </c>
      <c r="E47" s="15">
        <f>IF(COUNT('Оценки'!D47:F47)=0,"",AVERAGE('Оценки'!D47:F47))</f>
        <v/>
      </c>
      <c r="F47" s="15">
        <f>IF(COUNT('Оценки'!G47:I47)=0,"",AVERAGE('Оценки'!G47:I47))</f>
        <v/>
      </c>
      <c r="G47" s="15">
        <f>IF('Оценки'!J47="","",'Оценки'!J47)</f>
        <v/>
      </c>
      <c r="H47" s="15">
        <f>IF(COUNT(D47:G47)=0,"",AVERAGE(D47:G47))</f>
        <v/>
      </c>
      <c r="I47" s="15">
        <f>IF(OR(C47="",H47=""),"",C47-H47)</f>
        <v/>
      </c>
      <c r="J47" s="14">
        <f>IF(I47="","",IF(I47&gt;=0.5,"⚠ переоценивает себя",IF(H47&lt;3,"низкий уровень","")))</f>
        <v/>
      </c>
    </row>
    <row r="48">
      <c r="A48" s="14" t="inlineStr">
        <is>
          <t>РП-5</t>
        </is>
      </c>
      <c r="B48" s="9" t="inlineStr">
        <is>
          <t>Открытость новому и адаптивность</t>
        </is>
      </c>
      <c r="C48" s="15">
        <f>IF('Оценки'!K48="","",'Оценки'!K48)</f>
        <v/>
      </c>
      <c r="D48" s="15">
        <f>IF('Оценки'!C48="","",'Оценки'!C48)</f>
        <v/>
      </c>
      <c r="E48" s="15">
        <f>IF(COUNT('Оценки'!D48:F48)=0,"",AVERAGE('Оценки'!D48:F48))</f>
        <v/>
      </c>
      <c r="F48" s="15">
        <f>IF(COUNT('Оценки'!G48:I48)=0,"",AVERAGE('Оценки'!G48:I48))</f>
        <v/>
      </c>
      <c r="G48" s="15">
        <f>IF('Оценки'!J48="","",'Оценки'!J48)</f>
        <v/>
      </c>
      <c r="H48" s="15">
        <f>IF(COUNT(D48:G48)=0,"",AVERAGE(D48:G48))</f>
        <v/>
      </c>
      <c r="I48" s="15">
        <f>IF(OR(C48="",H48=""),"",C48-H48)</f>
        <v/>
      </c>
      <c r="J48" s="14">
        <f>IF(I48="","",IF(I48&gt;=0.5,"⚠ переоценивает себя",IF(H48&lt;3,"низкий уровень","")))</f>
        <v/>
      </c>
    </row>
    <row r="49">
      <c r="A49" s="14" t="inlineStr">
        <is>
          <t>РП-5</t>
        </is>
      </c>
      <c r="B49" s="9" t="inlineStr">
        <is>
          <t>Мотивация других людей (желательно по МР)</t>
        </is>
      </c>
      <c r="C49" s="15">
        <f>IF('Оценки'!K49="","",'Оценки'!K49)</f>
        <v/>
      </c>
      <c r="D49" s="15">
        <f>IF('Оценки'!C49="","",'Оценки'!C49)</f>
        <v/>
      </c>
      <c r="E49" s="15">
        <f>IF(COUNT('Оценки'!D49:F49)=0,"",AVERAGE('Оценки'!D49:F49))</f>
        <v/>
      </c>
      <c r="F49" s="15">
        <f>IF(COUNT('Оценки'!G49:I49)=0,"",AVERAGE('Оценки'!G49:I49))</f>
        <v/>
      </c>
      <c r="G49" s="15">
        <f>IF('Оценки'!J49="","",'Оценки'!J49)</f>
        <v/>
      </c>
      <c r="H49" s="15">
        <f>IF(COUNT(D49:G49)=0,"",AVERAGE(D49:G49))</f>
        <v/>
      </c>
      <c r="I49" s="15">
        <f>IF(OR(C49="",H49=""),"",C49-H49)</f>
        <v/>
      </c>
      <c r="J49" s="14">
        <f>IF(I49="","",IF(I49&gt;=0.5,"⚠ переоценивает себя",IF(H49&lt;3,"низкий уровень","")))</f>
        <v/>
      </c>
    </row>
    <row r="50">
      <c r="A50" s="14" t="inlineStr">
        <is>
          <t>РП-5</t>
        </is>
      </c>
      <c r="B50" s="9" t="inlineStr">
        <is>
          <t>Мотивация на работу в рамках федерального проекта, желание учиться и развиваться</t>
        </is>
      </c>
      <c r="C50" s="15">
        <f>IF('Оценки'!K50="","",'Оценки'!K50)</f>
        <v/>
      </c>
      <c r="D50" s="15">
        <f>IF('Оценки'!C50="","",'Оценки'!C50)</f>
        <v/>
      </c>
      <c r="E50" s="15">
        <f>IF(COUNT('Оценки'!D50:F50)=0,"",AVERAGE('Оценки'!D50:F50))</f>
        <v/>
      </c>
      <c r="F50" s="15">
        <f>IF(COUNT('Оценки'!G50:I50)=0,"",AVERAGE('Оценки'!G50:I50))</f>
        <v/>
      </c>
      <c r="G50" s="15">
        <f>IF('Оценки'!J50="","",'Оценки'!J50)</f>
        <v/>
      </c>
      <c r="H50" s="15">
        <f>IF(COUNT(D50:G50)=0,"",AVERAGE(D50:G50))</f>
        <v/>
      </c>
      <c r="I50" s="15">
        <f>IF(OR(C50="",H50=""),"",C50-H50)</f>
        <v/>
      </c>
      <c r="J50" s="14">
        <f>IF(I50="","",IF(I50&gt;=0.5,"⚠ переоценивает себя",IF(H50&lt;3,"низкий уровень","")))</f>
        <v/>
      </c>
    </row>
    <row r="51">
      <c r="A51" s="14" t="inlineStr">
        <is>
          <t>РП-5</t>
        </is>
      </c>
      <c r="B51" s="9" t="inlineStr">
        <is>
          <t>Профессиональная экспертиза: инструменты «Бережливого производства» и проектное управление</t>
        </is>
      </c>
      <c r="C51" s="15">
        <f>IF('Оценки'!K51="","",'Оценки'!K51)</f>
        <v/>
      </c>
      <c r="D51" s="15">
        <f>IF('Оценки'!C51="","",'Оценки'!C51)</f>
        <v/>
      </c>
      <c r="E51" s="15">
        <f>IF(COUNT('Оценки'!D51:F51)=0,"",AVERAGE('Оценки'!D51:F51))</f>
        <v/>
      </c>
      <c r="F51" s="15">
        <f>IF(COUNT('Оценки'!G51:I51)=0,"",AVERAGE('Оценки'!G51:I51))</f>
        <v/>
      </c>
      <c r="G51" s="15">
        <f>IF('Оценки'!J51="","",'Оценки'!J51)</f>
        <v/>
      </c>
      <c r="H51" s="15">
        <f>IF(COUNT(D51:G51)=0,"",AVERAGE(D51:G51))</f>
        <v/>
      </c>
      <c r="I51" s="15">
        <f>IF(OR(C51="",H51=""),"",C51-H51)</f>
        <v/>
      </c>
      <c r="J51" s="14">
        <f>IF(I51="","",IF(I51&gt;=0.5,"⚠ переоценивает себя",IF(H51&lt;3,"низкий уровень","")))</f>
        <v/>
      </c>
    </row>
    <row r="52">
      <c r="A52" s="16" t="inlineStr">
        <is>
          <t>РП-5</t>
        </is>
      </c>
      <c r="B52" s="17" t="inlineStr">
        <is>
          <t>ИТОГО (среднее по всем компетенциям)</t>
        </is>
      </c>
      <c r="C52" s="18">
        <f>IF(COUNT(C44:C51)=0,"",AVERAGE(C44:C51))</f>
        <v/>
      </c>
      <c r="D52" s="18">
        <f>IF(COUNT(D44:D51)=0,"",AVERAGE(D44:D51))</f>
        <v/>
      </c>
      <c r="E52" s="18">
        <f>IF(COUNT(E44:E51)=0,"",AVERAGE(E44:E51))</f>
        <v/>
      </c>
      <c r="F52" s="18">
        <f>IF(COUNT(F44:F51)=0,"",AVERAGE(F44:F51))</f>
        <v/>
      </c>
      <c r="G52" s="18">
        <f>IF(COUNT(G44:G51)=0,"",AVERAGE(G44:G51))</f>
        <v/>
      </c>
      <c r="H52" s="18">
        <f>IF(COUNT(H44:H51)=0,"",AVERAGE(H44:H51))</f>
        <v/>
      </c>
      <c r="I52" s="18">
        <f>IF(OR(C52="",H52=""),"",C52-H52)</f>
        <v/>
      </c>
      <c r="J52" s="16">
        <f>IF(I52="","",IF(I52&gt;=0.5,"⚠ переоценивает себя",IF(H52&lt;3,"низкий уровень","")))</f>
        <v/>
      </c>
    </row>
    <row r="53">
      <c r="A53" s="14" t="n"/>
      <c r="B53" s="9" t="n"/>
      <c r="C53" s="15" t="n"/>
      <c r="D53" s="15" t="n"/>
      <c r="E53" s="15" t="n"/>
      <c r="F53" s="15" t="n"/>
      <c r="G53" s="15" t="n"/>
      <c r="H53" s="15" t="n"/>
      <c r="I53" s="15" t="n"/>
      <c r="J53" s="14" t="n"/>
    </row>
    <row r="54">
      <c r="A54" s="14" t="inlineStr">
        <is>
          <t>РП-6</t>
        </is>
      </c>
      <c r="B54" s="9" t="inlineStr">
        <is>
          <t>Организация и контроль (критически важно по МР)</t>
        </is>
      </c>
      <c r="C54" s="15">
        <f>IF('Оценки'!K54="","",'Оценки'!K54)</f>
        <v/>
      </c>
      <c r="D54" s="15">
        <f>IF('Оценки'!C54="","",'Оценки'!C54)</f>
        <v/>
      </c>
      <c r="E54" s="15">
        <f>IF(COUNT('Оценки'!D54:F54)=0,"",AVERAGE('Оценки'!D54:F54))</f>
        <v/>
      </c>
      <c r="F54" s="15">
        <f>IF(COUNT('Оценки'!G54:I54)=0,"",AVERAGE('Оценки'!G54:I54))</f>
        <v/>
      </c>
      <c r="G54" s="15">
        <f>IF('Оценки'!J54="","",'Оценки'!J54)</f>
        <v/>
      </c>
      <c r="H54" s="15">
        <f>IF(COUNT(D54:G54)=0,"",AVERAGE(D54:G54))</f>
        <v/>
      </c>
      <c r="I54" s="15">
        <f>IF(OR(C54="",H54=""),"",C54-H54)</f>
        <v/>
      </c>
      <c r="J54" s="14">
        <f>IF(I54="","",IF(I54&gt;=0.5,"⚠ переоценивает себя",IF(H54&lt;3,"низкий уровень","")))</f>
        <v/>
      </c>
    </row>
    <row r="55">
      <c r="A55" s="14" t="inlineStr">
        <is>
          <t>РП-6</t>
        </is>
      </c>
      <c r="B55" s="9" t="inlineStr">
        <is>
          <t>Коммуникация и влияние</t>
        </is>
      </c>
      <c r="C55" s="15">
        <f>IF('Оценки'!K55="","",'Оценки'!K55)</f>
        <v/>
      </c>
      <c r="D55" s="15">
        <f>IF('Оценки'!C55="","",'Оценки'!C55)</f>
        <v/>
      </c>
      <c r="E55" s="15">
        <f>IF(COUNT('Оценки'!D55:F55)=0,"",AVERAGE('Оценки'!D55:F55))</f>
        <v/>
      </c>
      <c r="F55" s="15">
        <f>IF(COUNT('Оценки'!G55:I55)=0,"",AVERAGE('Оценки'!G55:I55))</f>
        <v/>
      </c>
      <c r="G55" s="15">
        <f>IF('Оценки'!J55="","",'Оценки'!J55)</f>
        <v/>
      </c>
      <c r="H55" s="15">
        <f>IF(COUNT(D55:G55)=0,"",AVERAGE(D55:G55))</f>
        <v/>
      </c>
      <c r="I55" s="15">
        <f>IF(OR(C55="",H55=""),"",C55-H55)</f>
        <v/>
      </c>
      <c r="J55" s="14">
        <f>IF(I55="","",IF(I55&gt;=0.5,"⚠ переоценивает себя",IF(H55&lt;3,"низкий уровень","")))</f>
        <v/>
      </c>
    </row>
    <row r="56">
      <c r="A56" s="14" t="inlineStr">
        <is>
          <t>РП-6</t>
        </is>
      </c>
      <c r="B56" s="9" t="inlineStr">
        <is>
          <t>Системное мышление</t>
        </is>
      </c>
      <c r="C56" s="15">
        <f>IF('Оценки'!K56="","",'Оценки'!K56)</f>
        <v/>
      </c>
      <c r="D56" s="15">
        <f>IF('Оценки'!C56="","",'Оценки'!C56)</f>
        <v/>
      </c>
      <c r="E56" s="15">
        <f>IF(COUNT('Оценки'!D56:F56)=0,"",AVERAGE('Оценки'!D56:F56))</f>
        <v/>
      </c>
      <c r="F56" s="15">
        <f>IF(COUNT('Оценки'!G56:I56)=0,"",AVERAGE('Оценки'!G56:I56))</f>
        <v/>
      </c>
      <c r="G56" s="15">
        <f>IF('Оценки'!J56="","",'Оценки'!J56)</f>
        <v/>
      </c>
      <c r="H56" s="15">
        <f>IF(COUNT(D56:G56)=0,"",AVERAGE(D56:G56))</f>
        <v/>
      </c>
      <c r="I56" s="15">
        <f>IF(OR(C56="",H56=""),"",C56-H56)</f>
        <v/>
      </c>
      <c r="J56" s="14">
        <f>IF(I56="","",IF(I56&gt;=0.5,"⚠ переоценивает себя",IF(H56&lt;3,"низкий уровень","")))</f>
        <v/>
      </c>
    </row>
    <row r="57">
      <c r="A57" s="14" t="inlineStr">
        <is>
          <t>РП-6</t>
        </is>
      </c>
      <c r="B57" s="9" t="inlineStr">
        <is>
          <t>Ответственность за результат</t>
        </is>
      </c>
      <c r="C57" s="15">
        <f>IF('Оценки'!K57="","",'Оценки'!K57)</f>
        <v/>
      </c>
      <c r="D57" s="15">
        <f>IF('Оценки'!C57="","",'Оценки'!C57)</f>
        <v/>
      </c>
      <c r="E57" s="15">
        <f>IF(COUNT('Оценки'!D57:F57)=0,"",AVERAGE('Оценки'!D57:F57))</f>
        <v/>
      </c>
      <c r="F57" s="15">
        <f>IF(COUNT('Оценки'!G57:I57)=0,"",AVERAGE('Оценки'!G57:I57))</f>
        <v/>
      </c>
      <c r="G57" s="15">
        <f>IF('Оценки'!J57="","",'Оценки'!J57)</f>
        <v/>
      </c>
      <c r="H57" s="15">
        <f>IF(COUNT(D57:G57)=0,"",AVERAGE(D57:G57))</f>
        <v/>
      </c>
      <c r="I57" s="15">
        <f>IF(OR(C57="",H57=""),"",C57-H57)</f>
        <v/>
      </c>
      <c r="J57" s="14">
        <f>IF(I57="","",IF(I57&gt;=0.5,"⚠ переоценивает себя",IF(H57&lt;3,"низкий уровень","")))</f>
        <v/>
      </c>
    </row>
    <row r="58">
      <c r="A58" s="14" t="inlineStr">
        <is>
          <t>РП-6</t>
        </is>
      </c>
      <c r="B58" s="9" t="inlineStr">
        <is>
          <t>Открытость новому и адаптивность</t>
        </is>
      </c>
      <c r="C58" s="15">
        <f>IF('Оценки'!K58="","",'Оценки'!K58)</f>
        <v/>
      </c>
      <c r="D58" s="15">
        <f>IF('Оценки'!C58="","",'Оценки'!C58)</f>
        <v/>
      </c>
      <c r="E58" s="15">
        <f>IF(COUNT('Оценки'!D58:F58)=0,"",AVERAGE('Оценки'!D58:F58))</f>
        <v/>
      </c>
      <c r="F58" s="15">
        <f>IF(COUNT('Оценки'!G58:I58)=0,"",AVERAGE('Оценки'!G58:I58))</f>
        <v/>
      </c>
      <c r="G58" s="15">
        <f>IF('Оценки'!J58="","",'Оценки'!J58)</f>
        <v/>
      </c>
      <c r="H58" s="15">
        <f>IF(COUNT(D58:G58)=0,"",AVERAGE(D58:G58))</f>
        <v/>
      </c>
      <c r="I58" s="15">
        <f>IF(OR(C58="",H58=""),"",C58-H58)</f>
        <v/>
      </c>
      <c r="J58" s="14">
        <f>IF(I58="","",IF(I58&gt;=0.5,"⚠ переоценивает себя",IF(H58&lt;3,"низкий уровень","")))</f>
        <v/>
      </c>
    </row>
    <row r="59">
      <c r="A59" s="14" t="inlineStr">
        <is>
          <t>РП-6</t>
        </is>
      </c>
      <c r="B59" s="9" t="inlineStr">
        <is>
          <t>Мотивация других людей (желательно по МР)</t>
        </is>
      </c>
      <c r="C59" s="15">
        <f>IF('Оценки'!K59="","",'Оценки'!K59)</f>
        <v/>
      </c>
      <c r="D59" s="15">
        <f>IF('Оценки'!C59="","",'Оценки'!C59)</f>
        <v/>
      </c>
      <c r="E59" s="15">
        <f>IF(COUNT('Оценки'!D59:F59)=0,"",AVERAGE('Оценки'!D59:F59))</f>
        <v/>
      </c>
      <c r="F59" s="15">
        <f>IF(COUNT('Оценки'!G59:I59)=0,"",AVERAGE('Оценки'!G59:I59))</f>
        <v/>
      </c>
      <c r="G59" s="15">
        <f>IF('Оценки'!J59="","",'Оценки'!J59)</f>
        <v/>
      </c>
      <c r="H59" s="15">
        <f>IF(COUNT(D59:G59)=0,"",AVERAGE(D59:G59))</f>
        <v/>
      </c>
      <c r="I59" s="15">
        <f>IF(OR(C59="",H59=""),"",C59-H59)</f>
        <v/>
      </c>
      <c r="J59" s="14">
        <f>IF(I59="","",IF(I59&gt;=0.5,"⚠ переоценивает себя",IF(H59&lt;3,"низкий уровень","")))</f>
        <v/>
      </c>
    </row>
    <row r="60">
      <c r="A60" s="14" t="inlineStr">
        <is>
          <t>РП-6</t>
        </is>
      </c>
      <c r="B60" s="9" t="inlineStr">
        <is>
          <t>Мотивация на работу в рамках федерального проекта, желание учиться и развиваться</t>
        </is>
      </c>
      <c r="C60" s="15">
        <f>IF('Оценки'!K60="","",'Оценки'!K60)</f>
        <v/>
      </c>
      <c r="D60" s="15">
        <f>IF('Оценки'!C60="","",'Оценки'!C60)</f>
        <v/>
      </c>
      <c r="E60" s="15">
        <f>IF(COUNT('Оценки'!D60:F60)=0,"",AVERAGE('Оценки'!D60:F60))</f>
        <v/>
      </c>
      <c r="F60" s="15">
        <f>IF(COUNT('Оценки'!G60:I60)=0,"",AVERAGE('Оценки'!G60:I60))</f>
        <v/>
      </c>
      <c r="G60" s="15">
        <f>IF('Оценки'!J60="","",'Оценки'!J60)</f>
        <v/>
      </c>
      <c r="H60" s="15">
        <f>IF(COUNT(D60:G60)=0,"",AVERAGE(D60:G60))</f>
        <v/>
      </c>
      <c r="I60" s="15">
        <f>IF(OR(C60="",H60=""),"",C60-H60)</f>
        <v/>
      </c>
      <c r="J60" s="14">
        <f>IF(I60="","",IF(I60&gt;=0.5,"⚠ переоценивает себя",IF(H60&lt;3,"низкий уровень","")))</f>
        <v/>
      </c>
    </row>
    <row r="61">
      <c r="A61" s="14" t="inlineStr">
        <is>
          <t>РП-6</t>
        </is>
      </c>
      <c r="B61" s="9" t="inlineStr">
        <is>
          <t>Профессиональная экспертиза: инструменты «Бережливого производства» и проектное управление</t>
        </is>
      </c>
      <c r="C61" s="15">
        <f>IF('Оценки'!K61="","",'Оценки'!K61)</f>
        <v/>
      </c>
      <c r="D61" s="15">
        <f>IF('Оценки'!C61="","",'Оценки'!C61)</f>
        <v/>
      </c>
      <c r="E61" s="15">
        <f>IF(COUNT('Оценки'!D61:F61)=0,"",AVERAGE('Оценки'!D61:F61))</f>
        <v/>
      </c>
      <c r="F61" s="15">
        <f>IF(COUNT('Оценки'!G61:I61)=0,"",AVERAGE('Оценки'!G61:I61))</f>
        <v/>
      </c>
      <c r="G61" s="15">
        <f>IF('Оценки'!J61="","",'Оценки'!J61)</f>
        <v/>
      </c>
      <c r="H61" s="15">
        <f>IF(COUNT(D61:G61)=0,"",AVERAGE(D61:G61))</f>
        <v/>
      </c>
      <c r="I61" s="15">
        <f>IF(OR(C61="",H61=""),"",C61-H61)</f>
        <v/>
      </c>
      <c r="J61" s="14">
        <f>IF(I61="","",IF(I61&gt;=0.5,"⚠ переоценивает себя",IF(H61&lt;3,"низкий уровень","")))</f>
        <v/>
      </c>
    </row>
    <row r="62">
      <c r="A62" s="16" t="inlineStr">
        <is>
          <t>РП-6</t>
        </is>
      </c>
      <c r="B62" s="17" t="inlineStr">
        <is>
          <t>ИТОГО (среднее по всем компетенциям)</t>
        </is>
      </c>
      <c r="C62" s="18">
        <f>IF(COUNT(C54:C61)=0,"",AVERAGE(C54:C61))</f>
        <v/>
      </c>
      <c r="D62" s="18">
        <f>IF(COUNT(D54:D61)=0,"",AVERAGE(D54:D61))</f>
        <v/>
      </c>
      <c r="E62" s="18">
        <f>IF(COUNT(E54:E61)=0,"",AVERAGE(E54:E61))</f>
        <v/>
      </c>
      <c r="F62" s="18">
        <f>IF(COUNT(F54:F61)=0,"",AVERAGE(F54:F61))</f>
        <v/>
      </c>
      <c r="G62" s="18">
        <f>IF(COUNT(G54:G61)=0,"",AVERAGE(G54:G61))</f>
        <v/>
      </c>
      <c r="H62" s="18">
        <f>IF(COUNT(H54:H61)=0,"",AVERAGE(H54:H61))</f>
        <v/>
      </c>
      <c r="I62" s="18">
        <f>IF(OR(C62="",H62=""),"",C62-H62)</f>
        <v/>
      </c>
      <c r="J62" s="16">
        <f>IF(I62="","",IF(I62&gt;=0.5,"⚠ переоценивает себя",IF(H62&lt;3,"низкий уровень","")))</f>
        <v/>
      </c>
    </row>
    <row r="63">
      <c r="A63" s="14" t="n"/>
      <c r="B63" s="9" t="n"/>
      <c r="C63" s="15" t="n"/>
      <c r="D63" s="15" t="n"/>
      <c r="E63" s="15" t="n"/>
      <c r="F63" s="15" t="n"/>
      <c r="G63" s="15" t="n"/>
      <c r="H63" s="15" t="n"/>
      <c r="I63" s="15" t="n"/>
      <c r="J63" s="14" t="n"/>
    </row>
    <row r="64">
      <c r="A64" s="14" t="inlineStr">
        <is>
          <t>РП-7</t>
        </is>
      </c>
      <c r="B64" s="9" t="inlineStr">
        <is>
          <t>Организация и контроль (критически важно по МР)</t>
        </is>
      </c>
      <c r="C64" s="15">
        <f>IF('Оценки'!K64="","",'Оценки'!K64)</f>
        <v/>
      </c>
      <c r="D64" s="15">
        <f>IF('Оценки'!C64="","",'Оценки'!C64)</f>
        <v/>
      </c>
      <c r="E64" s="15">
        <f>IF(COUNT('Оценки'!D64:F64)=0,"",AVERAGE('Оценки'!D64:F64))</f>
        <v/>
      </c>
      <c r="F64" s="15">
        <f>IF(COUNT('Оценки'!G64:I64)=0,"",AVERAGE('Оценки'!G64:I64))</f>
        <v/>
      </c>
      <c r="G64" s="15">
        <f>IF('Оценки'!J64="","",'Оценки'!J64)</f>
        <v/>
      </c>
      <c r="H64" s="15">
        <f>IF(COUNT(D64:G64)=0,"",AVERAGE(D64:G64))</f>
        <v/>
      </c>
      <c r="I64" s="15">
        <f>IF(OR(C64="",H64=""),"",C64-H64)</f>
        <v/>
      </c>
      <c r="J64" s="14">
        <f>IF(I64="","",IF(I64&gt;=0.5,"⚠ переоценивает себя",IF(H64&lt;3,"низкий уровень","")))</f>
        <v/>
      </c>
    </row>
    <row r="65">
      <c r="A65" s="14" t="inlineStr">
        <is>
          <t>РП-7</t>
        </is>
      </c>
      <c r="B65" s="9" t="inlineStr">
        <is>
          <t>Коммуникация и влияние</t>
        </is>
      </c>
      <c r="C65" s="15">
        <f>IF('Оценки'!K65="","",'Оценки'!K65)</f>
        <v/>
      </c>
      <c r="D65" s="15">
        <f>IF('Оценки'!C65="","",'Оценки'!C65)</f>
        <v/>
      </c>
      <c r="E65" s="15">
        <f>IF(COUNT('Оценки'!D65:F65)=0,"",AVERAGE('Оценки'!D65:F65))</f>
        <v/>
      </c>
      <c r="F65" s="15">
        <f>IF(COUNT('Оценки'!G65:I65)=0,"",AVERAGE('Оценки'!G65:I65))</f>
        <v/>
      </c>
      <c r="G65" s="15">
        <f>IF('Оценки'!J65="","",'Оценки'!J65)</f>
        <v/>
      </c>
      <c r="H65" s="15">
        <f>IF(COUNT(D65:G65)=0,"",AVERAGE(D65:G65))</f>
        <v/>
      </c>
      <c r="I65" s="15">
        <f>IF(OR(C65="",H65=""),"",C65-H65)</f>
        <v/>
      </c>
      <c r="J65" s="14">
        <f>IF(I65="","",IF(I65&gt;=0.5,"⚠ переоценивает себя",IF(H65&lt;3,"низкий уровень","")))</f>
        <v/>
      </c>
    </row>
    <row r="66">
      <c r="A66" s="14" t="inlineStr">
        <is>
          <t>РП-7</t>
        </is>
      </c>
      <c r="B66" s="9" t="inlineStr">
        <is>
          <t>Системное мышление</t>
        </is>
      </c>
      <c r="C66" s="15">
        <f>IF('Оценки'!K66="","",'Оценки'!K66)</f>
        <v/>
      </c>
      <c r="D66" s="15">
        <f>IF('Оценки'!C66="","",'Оценки'!C66)</f>
        <v/>
      </c>
      <c r="E66" s="15">
        <f>IF(COUNT('Оценки'!D66:F66)=0,"",AVERAGE('Оценки'!D66:F66))</f>
        <v/>
      </c>
      <c r="F66" s="15">
        <f>IF(COUNT('Оценки'!G66:I66)=0,"",AVERAGE('Оценки'!G66:I66))</f>
        <v/>
      </c>
      <c r="G66" s="15">
        <f>IF('Оценки'!J66="","",'Оценки'!J66)</f>
        <v/>
      </c>
      <c r="H66" s="15">
        <f>IF(COUNT(D66:G66)=0,"",AVERAGE(D66:G66))</f>
        <v/>
      </c>
      <c r="I66" s="15">
        <f>IF(OR(C66="",H66=""),"",C66-H66)</f>
        <v/>
      </c>
      <c r="J66" s="14">
        <f>IF(I66="","",IF(I66&gt;=0.5,"⚠ переоценивает себя",IF(H66&lt;3,"низкий уровень","")))</f>
        <v/>
      </c>
    </row>
    <row r="67">
      <c r="A67" s="14" t="inlineStr">
        <is>
          <t>РП-7</t>
        </is>
      </c>
      <c r="B67" s="9" t="inlineStr">
        <is>
          <t>Ответственность за результат</t>
        </is>
      </c>
      <c r="C67" s="15">
        <f>IF('Оценки'!K67="","",'Оценки'!K67)</f>
        <v/>
      </c>
      <c r="D67" s="15">
        <f>IF('Оценки'!C67="","",'Оценки'!C67)</f>
        <v/>
      </c>
      <c r="E67" s="15">
        <f>IF(COUNT('Оценки'!D67:F67)=0,"",AVERAGE('Оценки'!D67:F67))</f>
        <v/>
      </c>
      <c r="F67" s="15">
        <f>IF(COUNT('Оценки'!G67:I67)=0,"",AVERAGE('Оценки'!G67:I67))</f>
        <v/>
      </c>
      <c r="G67" s="15">
        <f>IF('Оценки'!J67="","",'Оценки'!J67)</f>
        <v/>
      </c>
      <c r="H67" s="15">
        <f>IF(COUNT(D67:G67)=0,"",AVERAGE(D67:G67))</f>
        <v/>
      </c>
      <c r="I67" s="15">
        <f>IF(OR(C67="",H67=""),"",C67-H67)</f>
        <v/>
      </c>
      <c r="J67" s="14">
        <f>IF(I67="","",IF(I67&gt;=0.5,"⚠ переоценивает себя",IF(H67&lt;3,"низкий уровень","")))</f>
        <v/>
      </c>
    </row>
    <row r="68">
      <c r="A68" s="14" t="inlineStr">
        <is>
          <t>РП-7</t>
        </is>
      </c>
      <c r="B68" s="9" t="inlineStr">
        <is>
          <t>Открытость новому и адаптивность</t>
        </is>
      </c>
      <c r="C68" s="15">
        <f>IF('Оценки'!K68="","",'Оценки'!K68)</f>
        <v/>
      </c>
      <c r="D68" s="15">
        <f>IF('Оценки'!C68="","",'Оценки'!C68)</f>
        <v/>
      </c>
      <c r="E68" s="15">
        <f>IF(COUNT('Оценки'!D68:F68)=0,"",AVERAGE('Оценки'!D68:F68))</f>
        <v/>
      </c>
      <c r="F68" s="15">
        <f>IF(COUNT('Оценки'!G68:I68)=0,"",AVERAGE('Оценки'!G68:I68))</f>
        <v/>
      </c>
      <c r="G68" s="15">
        <f>IF('Оценки'!J68="","",'Оценки'!J68)</f>
        <v/>
      </c>
      <c r="H68" s="15">
        <f>IF(COUNT(D68:G68)=0,"",AVERAGE(D68:G68))</f>
        <v/>
      </c>
      <c r="I68" s="15">
        <f>IF(OR(C68="",H68=""),"",C68-H68)</f>
        <v/>
      </c>
      <c r="J68" s="14">
        <f>IF(I68="","",IF(I68&gt;=0.5,"⚠ переоценивает себя",IF(H68&lt;3,"низкий уровень","")))</f>
        <v/>
      </c>
    </row>
    <row r="69">
      <c r="A69" s="14" t="inlineStr">
        <is>
          <t>РП-7</t>
        </is>
      </c>
      <c r="B69" s="9" t="inlineStr">
        <is>
          <t>Мотивация других людей (желательно по МР)</t>
        </is>
      </c>
      <c r="C69" s="15">
        <f>IF('Оценки'!K69="","",'Оценки'!K69)</f>
        <v/>
      </c>
      <c r="D69" s="15">
        <f>IF('Оценки'!C69="","",'Оценки'!C69)</f>
        <v/>
      </c>
      <c r="E69" s="15">
        <f>IF(COUNT('Оценки'!D69:F69)=0,"",AVERAGE('Оценки'!D69:F69))</f>
        <v/>
      </c>
      <c r="F69" s="15">
        <f>IF(COUNT('Оценки'!G69:I69)=0,"",AVERAGE('Оценки'!G69:I69))</f>
        <v/>
      </c>
      <c r="G69" s="15">
        <f>IF('Оценки'!J69="","",'Оценки'!J69)</f>
        <v/>
      </c>
      <c r="H69" s="15">
        <f>IF(COUNT(D69:G69)=0,"",AVERAGE(D69:G69))</f>
        <v/>
      </c>
      <c r="I69" s="15">
        <f>IF(OR(C69="",H69=""),"",C69-H69)</f>
        <v/>
      </c>
      <c r="J69" s="14">
        <f>IF(I69="","",IF(I69&gt;=0.5,"⚠ переоценивает себя",IF(H69&lt;3,"низкий уровень","")))</f>
        <v/>
      </c>
    </row>
    <row r="70">
      <c r="A70" s="14" t="inlineStr">
        <is>
          <t>РП-7</t>
        </is>
      </c>
      <c r="B70" s="9" t="inlineStr">
        <is>
          <t>Мотивация на работу в рамках федерального проекта, желание учиться и развиваться</t>
        </is>
      </c>
      <c r="C70" s="15">
        <f>IF('Оценки'!K70="","",'Оценки'!K70)</f>
        <v/>
      </c>
      <c r="D70" s="15">
        <f>IF('Оценки'!C70="","",'Оценки'!C70)</f>
        <v/>
      </c>
      <c r="E70" s="15">
        <f>IF(COUNT('Оценки'!D70:F70)=0,"",AVERAGE('Оценки'!D70:F70))</f>
        <v/>
      </c>
      <c r="F70" s="15">
        <f>IF(COUNT('Оценки'!G70:I70)=0,"",AVERAGE('Оценки'!G70:I70))</f>
        <v/>
      </c>
      <c r="G70" s="15">
        <f>IF('Оценки'!J70="","",'Оценки'!J70)</f>
        <v/>
      </c>
      <c r="H70" s="15">
        <f>IF(COUNT(D70:G70)=0,"",AVERAGE(D70:G70))</f>
        <v/>
      </c>
      <c r="I70" s="15">
        <f>IF(OR(C70="",H70=""),"",C70-H70)</f>
        <v/>
      </c>
      <c r="J70" s="14">
        <f>IF(I70="","",IF(I70&gt;=0.5,"⚠ переоценивает себя",IF(H70&lt;3,"низкий уровень","")))</f>
        <v/>
      </c>
    </row>
    <row r="71">
      <c r="A71" s="14" t="inlineStr">
        <is>
          <t>РП-7</t>
        </is>
      </c>
      <c r="B71" s="9" t="inlineStr">
        <is>
          <t>Профессиональная экспертиза: инструменты «Бережливого производства» и проектное управление</t>
        </is>
      </c>
      <c r="C71" s="15">
        <f>IF('Оценки'!K71="","",'Оценки'!K71)</f>
        <v/>
      </c>
      <c r="D71" s="15">
        <f>IF('Оценки'!C71="","",'Оценки'!C71)</f>
        <v/>
      </c>
      <c r="E71" s="15">
        <f>IF(COUNT('Оценки'!D71:F71)=0,"",AVERAGE('Оценки'!D71:F71))</f>
        <v/>
      </c>
      <c r="F71" s="15">
        <f>IF(COUNT('Оценки'!G71:I71)=0,"",AVERAGE('Оценки'!G71:I71))</f>
        <v/>
      </c>
      <c r="G71" s="15">
        <f>IF('Оценки'!J71="","",'Оценки'!J71)</f>
        <v/>
      </c>
      <c r="H71" s="15">
        <f>IF(COUNT(D71:G71)=0,"",AVERAGE(D71:G71))</f>
        <v/>
      </c>
      <c r="I71" s="15">
        <f>IF(OR(C71="",H71=""),"",C71-H71)</f>
        <v/>
      </c>
      <c r="J71" s="14">
        <f>IF(I71="","",IF(I71&gt;=0.5,"⚠ переоценивает себя",IF(H71&lt;3,"низкий уровень","")))</f>
        <v/>
      </c>
    </row>
    <row r="72">
      <c r="A72" s="16" t="inlineStr">
        <is>
          <t>РП-7</t>
        </is>
      </c>
      <c r="B72" s="17" t="inlineStr">
        <is>
          <t>ИТОГО (среднее по всем компетенциям)</t>
        </is>
      </c>
      <c r="C72" s="18">
        <f>IF(COUNT(C64:C71)=0,"",AVERAGE(C64:C71))</f>
        <v/>
      </c>
      <c r="D72" s="18">
        <f>IF(COUNT(D64:D71)=0,"",AVERAGE(D64:D71))</f>
        <v/>
      </c>
      <c r="E72" s="18">
        <f>IF(COUNT(E64:E71)=0,"",AVERAGE(E64:E71))</f>
        <v/>
      </c>
      <c r="F72" s="18">
        <f>IF(COUNT(F64:F71)=0,"",AVERAGE(F64:F71))</f>
        <v/>
      </c>
      <c r="G72" s="18">
        <f>IF(COUNT(G64:G71)=0,"",AVERAGE(G64:G71))</f>
        <v/>
      </c>
      <c r="H72" s="18">
        <f>IF(COUNT(H64:H71)=0,"",AVERAGE(H64:H71))</f>
        <v/>
      </c>
      <c r="I72" s="18">
        <f>IF(OR(C72="",H72=""),"",C72-H72)</f>
        <v/>
      </c>
      <c r="J72" s="16">
        <f>IF(I72="","",IF(I72&gt;=0.5,"⚠ переоценивает себя",IF(H72&lt;3,"низкий уровень","")))</f>
        <v/>
      </c>
    </row>
  </sheetData>
  <mergeCells count="2">
    <mergeCell ref="A1:J1"/>
    <mergeCell ref="A2:J2"/>
  </mergeCells>
  <conditionalFormatting sqref="I4:I72">
    <cfRule type="cellIs" priority="1" operator="greaterThanOrEqual" dxfId="0">
      <formula>0.5</formula>
    </cfRule>
  </conditionalFormatting>
  <conditionalFormatting sqref="H4:H72">
    <cfRule type="cellIs" priority="2" operator="lessThan" dxfId="1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12" customWidth="1" min="4" max="4"/>
    <col width="12" customWidth="1" min="5" max="5"/>
    <col width="48" customWidth="1" min="6" max="6"/>
    <col width="20" customWidth="1" min="7" max="7"/>
    <col width="14" customWidth="1" min="8" max="8"/>
    <col width="12" customWidth="1" min="9" max="9"/>
    <col width="10" customWidth="1" min="10" max="10"/>
  </cols>
  <sheetData>
    <row r="1">
      <c r="A1" s="4" t="inlineStr">
        <is>
          <t>ПЛАН РАЗВИТИЯ СОТРУДНИКА РЦК (формат — приложение № 6 МР; заполняется после встречи, на основе «Сводки»)</t>
        </is>
      </c>
    </row>
    <row r="2" ht="52" customHeight="1">
      <c r="A2" s="5" t="inlineStr">
        <is>
          <t>Уровни по шкале 360: 1–5 (см. «Инструкцию»). Для профессиональных инструментов (картирование, 5С, производственный анализ и др.) МР (приложение № 6) использует шкалу 0,0–3,0 с шагом 0,5: 0,0 — не соответствует требованиям; 0,5 — начальный уровень; 1,0 — большей частью не соответствует; 1,5 — большей частью соответствует; 2,0 — полностью соответствует; 2,5 — по некоторым направлениям превосходит; 3,0 — превосходит требования. Целевой уровень по итогам развития — не ниже 1,5 (МР). С планом ознакомлены: сотрудник РЦК, наставник, руководитель РЦК (подписи и даты).</t>
        </is>
      </c>
    </row>
    <row r="3" ht="40" customHeight="1">
      <c r="A3" s="6" t="inlineStr">
        <is>
          <t>Сотрудник РЦК (ФИО)</t>
        </is>
      </c>
      <c r="B3" s="6" t="inlineStr">
        <is>
          <t>Направление работы в РЦК</t>
        </is>
      </c>
      <c r="C3" s="6" t="inlineStr">
        <is>
          <t>Компетенция (результат 360: низкий балл / разрыв)</t>
        </is>
      </c>
      <c r="D3" s="6" t="inlineStr">
        <is>
          <t>Уровень на старте (по 360)</t>
        </is>
      </c>
      <c r="E3" s="6" t="inlineStr">
        <is>
          <t>Целевой уровень</t>
        </is>
      </c>
      <c r="F3" s="6" t="inlineStr">
        <is>
          <t>Мероприятия развития (обучение, стажировка, практика, наставничество)</t>
        </is>
      </c>
      <c r="G3" s="6" t="inlineStr">
        <is>
          <t>Наставник (РП ФЦК / РЦК)</t>
        </is>
      </c>
      <c r="H3" s="6" t="inlineStr">
        <is>
          <t>Срок</t>
        </is>
      </c>
      <c r="I3" s="6" t="inlineStr">
        <is>
          <t>Оценка (факт)</t>
        </is>
      </c>
      <c r="J3" s="6" t="inlineStr">
        <is>
          <t>Статус</t>
        </is>
      </c>
    </row>
    <row r="4">
      <c r="A4" s="19" t="inlineStr">
        <is>
          <t>Смирнов А. П. (ПРИМЕР)</t>
        </is>
      </c>
      <c r="B4" s="19" t="inlineStr">
        <is>
          <t>(например: Оптимизация потоков и процессов)</t>
        </is>
      </c>
      <c r="C4" s="19" t="inlineStr">
        <is>
          <t>Коммуникация и влияние: разрыв «себя − другие» = 1,1 (себя 5,0; другие 3,9)</t>
        </is>
      </c>
      <c r="D4" s="19" t="inlineStr">
        <is>
          <t>3,9</t>
        </is>
      </c>
      <c r="E4" s="19" t="inlineStr">
        <is>
          <t>5,0</t>
        </is>
      </c>
      <c r="F4" s="19" t="inlineStr">
        <is>
          <t>Тренинг по презентациям для статусной аудитории (10–150 чел.) и переговорам (программы «Академии производительности»); 2–3 презентации проекта с разбором от предприятия-участника / ФЦК; перекрёстный развивающий визит на проект коллеги</t>
        </is>
      </c>
      <c r="G4" s="19" t="inlineStr">
        <is>
          <t>(ФИО РП ФЦК / РЦК)</t>
        </is>
      </c>
      <c r="H4" s="19" t="inlineStr">
        <is>
          <t>к концу квартала</t>
        </is>
      </c>
      <c r="I4" s="19" t="inlineStr"/>
      <c r="J4" s="19" t="inlineStr">
        <is>
          <t>план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2026-09-03T08:25:24Z</dcterms:created>
  <dcterms:modified xsi:type="dcterms:W3CDTF">2026-09-03T08:25:24Z</dcterms:modified>
</cp:coreProperties>
</file>